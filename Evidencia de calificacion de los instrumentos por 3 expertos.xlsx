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– Tablas del artículo" sheetId="1" state="visible" r:id="rId1"/>
    <sheet xmlns:r="http://schemas.openxmlformats.org/officeDocument/2006/relationships" name="INST-1 Matriz AHP (Tabla 1)" sheetId="2" state="visible" r:id="rId2"/>
    <sheet xmlns:r="http://schemas.openxmlformats.org/officeDocument/2006/relationships" name="INST-2 Matriz ICA (Fig. 2)" sheetId="3" state="visible" r:id="rId3"/>
    <sheet xmlns:r="http://schemas.openxmlformats.org/officeDocument/2006/relationships" name="INST-3 IMSA (Fig. 6)" sheetId="4" state="visible" r:id="rId4"/>
    <sheet xmlns:r="http://schemas.openxmlformats.org/officeDocument/2006/relationships" name="INST-4 Indicadores (Tabla 5)" sheetId="5" state="visible" r:id="rId5"/>
    <sheet xmlns:r="http://schemas.openxmlformats.org/officeDocument/2006/relationships" name="INST-5 Riesgos (Tabla 6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F4E79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1"/>
    </font>
    <font>
      <name val="Arial"/>
      <b val="1"/>
      <color rgb="001F4E79"/>
      <sz val="10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b val="1"/>
      <color rgb="00C55A11"/>
      <sz val="10"/>
    </font>
    <font>
      <name val="Arial"/>
      <color rgb="00000000"/>
      <sz val="8"/>
    </font>
    <font>
      <name val="Arial"/>
      <sz val="10"/>
    </font>
    <font>
      <name val="Arial"/>
      <b val="1"/>
      <color rgb="00C55A11"/>
      <sz val="9"/>
    </font>
    <font>
      <name val="Arial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5B2280"/>
      </patternFill>
    </fill>
    <fill>
      <patternFill patternType="solid">
        <fgColor rgb="00EAD1FF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right" vertical="center" wrapText="1"/>
    </xf>
    <xf numFmtId="0" fontId="13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2" fontId="6" fillId="3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right" vertical="center" wrapText="1"/>
    </xf>
    <xf numFmtId="2" fontId="13" fillId="11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2" fontId="6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2" fontId="6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164" fontId="15" fillId="6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4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8" customHeight="1">
      <c r="A1" s="1" t="inlineStr">
        <is>
          <t>RESUMEN – TABLAS Y FIGURAS REPRODUCIDAS EN EL ARTÍCULO (promedio 3 expertos)</t>
        </is>
      </c>
    </row>
    <row r="3" ht="24" customHeight="1">
      <c r="A3" s="2" t="inlineStr">
        <is>
          <t>TABLA 1 – Criterios y pesos del ICA (resultado consolidado de la Matriz AHP)</t>
        </is>
      </c>
    </row>
    <row r="4" ht="24" customHeight="1">
      <c r="B4" s="3" t="inlineStr">
        <is>
          <t>Criterio</t>
        </is>
      </c>
      <c r="C4" s="3" t="inlineStr">
        <is>
          <t>Descripción</t>
        </is>
      </c>
      <c r="D4" s="3" t="inlineStr">
        <is>
          <t>Peso AHP (wi)</t>
        </is>
      </c>
    </row>
    <row r="5" ht="22" customHeight="1">
      <c r="A5" s="4" t="inlineStr">
        <is>
          <t>1</t>
        </is>
      </c>
      <c r="B5" s="5" t="inlineStr">
        <is>
          <t>Impacto de negocio</t>
        </is>
      </c>
      <c r="C5" s="6" t="inlineStr">
        <is>
          <t>Efecto sobre la operación continua y la generación de valor.</t>
        </is>
      </c>
      <c r="D5" s="7" t="inlineStr">
        <is>
          <t>0.59</t>
        </is>
      </c>
      <c r="E5" s="4" t="inlineStr"/>
      <c r="F5" s="4" t="inlineStr"/>
      <c r="G5" s="4" t="inlineStr"/>
    </row>
    <row r="6" ht="22" customHeight="1">
      <c r="A6" s="8" t="inlineStr">
        <is>
          <t>2</t>
        </is>
      </c>
      <c r="B6" s="9" t="inlineStr">
        <is>
          <t>Frecuencia transaccional</t>
        </is>
      </c>
      <c r="C6" s="10" t="inlineStr">
        <is>
          <t>Volumen relativo de operaciones ejecutadas.</t>
        </is>
      </c>
      <c r="D6" s="7" t="inlineStr">
        <is>
          <t>0.26</t>
        </is>
      </c>
      <c r="E6" s="8" t="inlineStr"/>
      <c r="F6" s="8" t="inlineStr"/>
      <c r="G6" s="8" t="inlineStr"/>
    </row>
    <row r="7" ht="22" customHeight="1">
      <c r="A7" s="4" t="inlineStr">
        <is>
          <t>3</t>
        </is>
      </c>
      <c r="B7" s="5" t="inlineStr">
        <is>
          <t>Exposición regulatoria</t>
        </is>
      </c>
      <c r="C7" s="6" t="inlineStr">
        <is>
          <t>Nivel de supervisión SBS directamente asociado al proceso.</t>
        </is>
      </c>
      <c r="D7" s="7" t="inlineStr">
        <is>
          <t>0.15</t>
        </is>
      </c>
      <c r="E7" s="4" t="inlineStr"/>
      <c r="F7" s="4" t="inlineStr"/>
      <c r="G7" s="4" t="inlineStr"/>
    </row>
    <row r="8" ht="22" customHeight="1">
      <c r="A8" s="8" t="inlineStr">
        <is>
          <t>RC</t>
        </is>
      </c>
      <c r="B8" s="10" t="inlineStr">
        <is>
          <t>RC (Ratio de Consistencia)</t>
        </is>
      </c>
      <c r="C8" s="10" t="inlineStr">
        <is>
          <t>Verificación de coherencia AHP.</t>
        </is>
      </c>
      <c r="D8" s="7" t="inlineStr">
        <is>
          <t>&lt; 0.10</t>
        </is>
      </c>
      <c r="E8" s="8" t="inlineStr"/>
      <c r="F8" s="8" t="inlineStr"/>
      <c r="G8" s="8" t="inlineStr"/>
    </row>
    <row r="10" ht="24" customHeight="1">
      <c r="A10" s="11" t="inlineStr">
        <is>
          <t>FIGURA 2 – Matriz de criticidad arquitectónica de procesos (ICA)</t>
        </is>
      </c>
    </row>
    <row r="11" ht="24" customHeight="1">
      <c r="A11" s="3" t="inlineStr">
        <is>
          <t>N°</t>
        </is>
      </c>
      <c r="B11" s="3" t="inlineStr">
        <is>
          <t>Proceso</t>
        </is>
      </c>
      <c r="C11" s="3" t="inlineStr">
        <is>
          <t>Línea</t>
        </is>
      </c>
      <c r="D11" s="3" t="inlineStr">
        <is>
          <t>ICA</t>
        </is>
      </c>
      <c r="E11" s="3" t="inlineStr">
        <is>
          <t>Nivel</t>
        </is>
      </c>
      <c r="F11" s="3" t="inlineStr"/>
      <c r="G11" s="3" t="inlineStr"/>
    </row>
    <row r="12" ht="22" customHeight="1">
      <c r="A12" s="4" t="inlineStr">
        <is>
          <t>1</t>
        </is>
      </c>
      <c r="B12" s="5" t="inlineStr">
        <is>
          <t>Apertura de cuenta de ahorros</t>
        </is>
      </c>
      <c r="C12" s="4" t="inlineStr">
        <is>
          <t>Ahorros</t>
        </is>
      </c>
      <c r="D12" s="12" t="n">
        <v>4.83</v>
      </c>
      <c r="E12" s="13" t="inlineStr">
        <is>
          <t>Crítico</t>
        </is>
      </c>
      <c r="F12" s="13" t="inlineStr">
        <is>
          <t>≥4.50</t>
        </is>
      </c>
      <c r="G12" s="4" t="inlineStr"/>
    </row>
    <row r="13" ht="22" customHeight="1">
      <c r="A13" s="8" t="inlineStr">
        <is>
          <t>2</t>
        </is>
      </c>
      <c r="B13" s="9" t="inlineStr">
        <is>
          <t>Evaluación crediticia</t>
        </is>
      </c>
      <c r="C13" s="8" t="inlineStr">
        <is>
          <t>Créditos</t>
        </is>
      </c>
      <c r="D13" s="12" t="n">
        <v>4.82</v>
      </c>
      <c r="E13" s="13" t="inlineStr">
        <is>
          <t>Crítico</t>
        </is>
      </c>
      <c r="F13" s="13" t="inlineStr">
        <is>
          <t>≥4.50</t>
        </is>
      </c>
      <c r="G13" s="8" t="inlineStr"/>
    </row>
    <row r="14" ht="22" customHeight="1">
      <c r="A14" s="4" t="inlineStr">
        <is>
          <t>3</t>
        </is>
      </c>
      <c r="B14" s="5" t="inlineStr">
        <is>
          <t>Desembolso crediticio</t>
        </is>
      </c>
      <c r="C14" s="4" t="inlineStr">
        <is>
          <t>Créditos</t>
        </is>
      </c>
      <c r="D14" s="12" t="n">
        <v>4.55</v>
      </c>
      <c r="E14" s="13" t="inlineStr">
        <is>
          <t>Crítico</t>
        </is>
      </c>
      <c r="F14" s="13" t="inlineStr">
        <is>
          <t>≥4.50</t>
        </is>
      </c>
      <c r="G14" s="4" t="inlineStr"/>
    </row>
    <row r="15" ht="22" customHeight="1">
      <c r="A15" s="8" t="inlineStr">
        <is>
          <t>4</t>
        </is>
      </c>
      <c r="B15" s="10" t="inlineStr">
        <is>
          <t>Confirmación de apertura (ahorros)</t>
        </is>
      </c>
      <c r="C15" s="8" t="inlineStr">
        <is>
          <t>Ahorros</t>
        </is>
      </c>
      <c r="D15" s="12" t="n">
        <v>4.16</v>
      </c>
      <c r="E15" s="14" t="inlineStr">
        <is>
          <t>Alto</t>
        </is>
      </c>
      <c r="F15" s="15" t="inlineStr"/>
      <c r="G15" s="8" t="inlineStr"/>
    </row>
    <row r="16" ht="22" customHeight="1">
      <c r="A16" s="4" t="inlineStr">
        <is>
          <t>5</t>
        </is>
      </c>
      <c r="B16" s="6" t="inlineStr">
        <is>
          <t>Gestión de seguros</t>
        </is>
      </c>
      <c r="C16" s="4" t="inlineStr">
        <is>
          <t>Seguros</t>
        </is>
      </c>
      <c r="D16" s="12" t="n">
        <v>3.5</v>
      </c>
      <c r="E16" s="16" t="inlineStr">
        <is>
          <t>Moderado</t>
        </is>
      </c>
      <c r="F16" s="17" t="inlineStr"/>
      <c r="G16" s="4" t="inlineStr"/>
    </row>
    <row r="17" ht="22" customHeight="1">
      <c r="A17" s="8" t="inlineStr">
        <is>
          <t>6</t>
        </is>
      </c>
      <c r="B17" s="10" t="inlineStr">
        <is>
          <t>Atención al cliente en ventanilla</t>
        </is>
      </c>
      <c r="C17" s="8" t="inlineStr">
        <is>
          <t>Ahorros</t>
        </is>
      </c>
      <c r="D17" s="12" t="n">
        <v>2.8</v>
      </c>
      <c r="E17" s="4" t="inlineStr">
        <is>
          <t>Bajo</t>
        </is>
      </c>
      <c r="F17" s="15" t="inlineStr"/>
      <c r="G17" s="8" t="inlineStr"/>
    </row>
    <row r="19" ht="24" customHeight="1">
      <c r="A19" s="18" t="inlineStr">
        <is>
          <t>FIGURA 6 – Aplicación del IMSA: selección de brecha prioritaria</t>
        </is>
      </c>
    </row>
    <row r="20" ht="28" customHeight="1">
      <c r="A20" s="19" t="inlineStr">
        <is>
          <t>N°</t>
        </is>
      </c>
      <c r="B20" s="19" t="inlineStr">
        <is>
          <t>Brecha / Dominio</t>
        </is>
      </c>
      <c r="C20" s="19" t="inlineStr">
        <is>
          <t>C.ICA×0.30</t>
        </is>
      </c>
      <c r="D20" s="19" t="inlineStr">
        <is>
          <t>Urg×0.20</t>
        </is>
      </c>
      <c r="E20" s="19" t="inlineStr">
        <is>
          <t>Rec×0.15</t>
        </is>
      </c>
      <c r="F20" s="19" t="inlineStr">
        <is>
          <t>Reg×0.20</t>
        </is>
      </c>
      <c r="G20" s="19" t="inlineStr">
        <is>
          <t>Puntaje IMSA</t>
        </is>
      </c>
    </row>
    <row r="21" ht="20" customHeight="1">
      <c r="A21" s="14" t="inlineStr"/>
      <c r="B21" s="20" t="inlineStr">
        <is>
          <t>→ Peso del criterio</t>
        </is>
      </c>
      <c r="C21" s="7" t="inlineStr">
        <is>
          <t>0.30</t>
        </is>
      </c>
      <c r="D21" s="7" t="inlineStr">
        <is>
          <t>0.20</t>
        </is>
      </c>
      <c r="E21" s="7" t="inlineStr">
        <is>
          <t>0.15</t>
        </is>
      </c>
      <c r="F21" s="7" t="inlineStr">
        <is>
          <t>0.20</t>
        </is>
      </c>
      <c r="G21" s="7" t="inlineStr">
        <is>
          <t>1.00</t>
        </is>
      </c>
    </row>
    <row r="22" ht="24" customHeight="1">
      <c r="A22" s="4" t="inlineStr">
        <is>
          <t>1</t>
        </is>
      </c>
      <c r="B22" s="5" t="inlineStr">
        <is>
          <t>Negocio – Procesos ICA≥4.50 sin SLA</t>
        </is>
      </c>
      <c r="C22" s="17" t="n">
        <v>5</v>
      </c>
      <c r="D22" s="17" t="n">
        <v>5</v>
      </c>
      <c r="E22" s="17" t="n">
        <v>3</v>
      </c>
      <c r="F22" s="17" t="n">
        <v>4</v>
      </c>
      <c r="G22" s="21" t="inlineStr">
        <is>
          <t>4.35 ★</t>
        </is>
      </c>
    </row>
    <row r="23" ht="24" customHeight="1">
      <c r="A23" s="8" t="inlineStr">
        <is>
          <t>2</t>
        </is>
      </c>
      <c r="B23" s="10" t="inlineStr">
        <is>
          <t>Tecnología – IaC 30%, aprovisionamiento manual</t>
        </is>
      </c>
      <c r="C23" s="8" t="n">
        <v>5</v>
      </c>
      <c r="D23" s="8" t="n">
        <v>4</v>
      </c>
      <c r="E23" s="8" t="n">
        <v>4</v>
      </c>
      <c r="F23" s="8" t="n">
        <v>3</v>
      </c>
      <c r="G23" s="8" t="inlineStr">
        <is>
          <t>4.10</t>
        </is>
      </c>
    </row>
    <row r="24" ht="24" customHeight="1">
      <c r="A24" s="4" t="inlineStr">
        <is>
          <t>3</t>
        </is>
      </c>
      <c r="B24" s="6" t="inlineStr">
        <is>
          <t>Datos – Sin trazabilidad automatizada</t>
        </is>
      </c>
      <c r="C24" s="4" t="n">
        <v>4</v>
      </c>
      <c r="D24" s="4" t="n">
        <v>3</v>
      </c>
      <c r="E24" s="4" t="n">
        <v>4</v>
      </c>
      <c r="F24" s="4" t="n">
        <v>5</v>
      </c>
      <c r="G24" s="4" t="inlineStr">
        <is>
          <t>4.00</t>
        </is>
      </c>
    </row>
    <row r="25" ht="24" customHeight="1">
      <c r="A25" s="8" t="inlineStr">
        <is>
          <t>4</t>
        </is>
      </c>
      <c r="B25" s="10" t="inlineStr">
        <is>
          <t>Aplicaciones – Dualidad API Gateway</t>
        </is>
      </c>
      <c r="C25" s="8" t="n">
        <v>5</v>
      </c>
      <c r="D25" s="8" t="n">
        <v>3</v>
      </c>
      <c r="E25" s="8" t="n">
        <v>2</v>
      </c>
      <c r="F25" s="8" t="n">
        <v>3</v>
      </c>
      <c r="G25" s="8" t="inlineStr">
        <is>
          <t>3.45</t>
        </is>
      </c>
    </row>
    <row r="26" ht="24" customHeight="1">
      <c r="A26" s="4" t="inlineStr">
        <is>
          <t>5</t>
        </is>
      </c>
      <c r="B26" s="6" t="inlineStr">
        <is>
          <t>Gobierno – Sin ARB ni métricas OWASP</t>
        </is>
      </c>
      <c r="C26" s="4" t="n">
        <v>3</v>
      </c>
      <c r="D26" s="4" t="n">
        <v>2</v>
      </c>
      <c r="E26" s="4" t="n">
        <v>3</v>
      </c>
      <c r="F26" s="4" t="n">
        <v>3</v>
      </c>
      <c r="G26" s="4" t="inlineStr">
        <is>
          <t>2.80</t>
        </is>
      </c>
    </row>
    <row r="28" ht="24" customHeight="1">
      <c r="A28" s="2" t="inlineStr">
        <is>
          <t>TABLA 5 – Indicadores AS-IS / TO-BE por dominio</t>
        </is>
      </c>
    </row>
    <row r="29" ht="24" customHeight="1">
      <c r="A29" s="19" t="inlineStr">
        <is>
          <t>N°</t>
        </is>
      </c>
      <c r="B29" s="19" t="inlineStr">
        <is>
          <t>Dominio</t>
        </is>
      </c>
      <c r="C29" s="19" t="inlineStr">
        <is>
          <t>Indicador</t>
        </is>
      </c>
      <c r="D29" s="19" t="inlineStr">
        <is>
          <t>AS-IS</t>
        </is>
      </c>
      <c r="E29" s="19" t="inlineStr">
        <is>
          <t>TO-BE esperado</t>
        </is>
      </c>
      <c r="F29" s="19" t="inlineStr"/>
      <c r="G29" s="19" t="inlineStr"/>
    </row>
    <row r="30" ht="32" customHeight="1">
      <c r="A30" s="4" t="inlineStr">
        <is>
          <t>1</t>
        </is>
      </c>
      <c r="B30" s="22" t="inlineStr">
        <is>
          <t>Negocio</t>
        </is>
      </c>
      <c r="C30" s="23" t="inlineStr">
        <is>
          <t>Tiempo de ciclo del proceso de apertura de cuenta</t>
        </is>
      </c>
      <c r="D30" s="24" t="inlineStr">
        <is>
          <t>Sin medición sistemática</t>
        </is>
      </c>
      <c r="E30" s="25" t="inlineStr">
        <is>
          <t>Reducción ≥ 40% post-microservicio ClaAhorros</t>
        </is>
      </c>
      <c r="F30" s="4" t="inlineStr"/>
      <c r="G30" s="4" t="inlineStr"/>
    </row>
    <row r="31" ht="32" customHeight="1">
      <c r="A31" s="8" t="inlineStr">
        <is>
          <t>2</t>
        </is>
      </c>
      <c r="B31" s="22" t="inlineStr">
        <is>
          <t>Negocio</t>
        </is>
      </c>
      <c r="C31" s="26" t="inlineStr">
        <is>
          <t>Tiempo de respuesta en evaluación crediticia</t>
        </is>
      </c>
      <c r="D31" s="27" t="inlineStr">
        <is>
          <t>Sin medición sistemática</t>
        </is>
      </c>
      <c r="E31" s="25" t="inlineStr">
        <is>
          <t>Reducción ≥ 30% post-microservicio ClaCreditos</t>
        </is>
      </c>
      <c r="F31" s="8" t="inlineStr"/>
      <c r="G31" s="8" t="inlineStr"/>
    </row>
    <row r="32" ht="32" customHeight="1">
      <c r="A32" s="4" t="inlineStr">
        <is>
          <t>3</t>
        </is>
      </c>
      <c r="B32" s="28" t="inlineStr">
        <is>
          <t>Tecnología</t>
        </is>
      </c>
      <c r="C32" s="23" t="inlineStr">
        <is>
          <t>Tiempo de aprovisionamiento de ambientes</t>
        </is>
      </c>
      <c r="D32" s="24" t="inlineStr">
        <is>
          <t>~3 días (manual)</t>
        </is>
      </c>
      <c r="E32" s="25" t="inlineStr">
        <is>
          <t>&lt; 30 minutos automatizado</t>
        </is>
      </c>
      <c r="F32" s="4" t="inlineStr"/>
      <c r="G32" s="4" t="inlineStr"/>
    </row>
    <row r="33" ht="32" customHeight="1">
      <c r="A33" s="8" t="inlineStr">
        <is>
          <t>4</t>
        </is>
      </c>
      <c r="B33" s="28" t="inlineStr">
        <is>
          <t>Tecnología</t>
        </is>
      </c>
      <c r="C33" s="26" t="inlineStr">
        <is>
          <t>Disponibilidad de servicios críticos</t>
        </is>
      </c>
      <c r="D33" s="27" t="inlineStr">
        <is>
          <t>~80%</t>
        </is>
      </c>
      <c r="E33" s="25" t="inlineStr">
        <is>
          <t>≥ 99.9%</t>
        </is>
      </c>
      <c r="F33" s="8" t="inlineStr"/>
      <c r="G33" s="8" t="inlineStr"/>
    </row>
    <row r="34" ht="32" customHeight="1">
      <c r="A34" s="4" t="inlineStr">
        <is>
          <t>5</t>
        </is>
      </c>
      <c r="B34" s="28" t="inlineStr">
        <is>
          <t>Tecnología</t>
        </is>
      </c>
      <c r="C34" s="23" t="inlineStr">
        <is>
          <t>Cobertura de IaC sobre entornos definidos</t>
        </is>
      </c>
      <c r="D34" s="24" t="inlineStr">
        <is>
          <t>~30%</t>
        </is>
      </c>
      <c r="E34" s="25" t="inlineStr">
        <is>
          <t>100%</t>
        </is>
      </c>
      <c r="F34" s="4" t="inlineStr"/>
      <c r="G34" s="4" t="inlineStr"/>
    </row>
    <row r="35" ht="32" customHeight="1">
      <c r="A35" s="8" t="inlineStr">
        <is>
          <t>6</t>
        </is>
      </c>
      <c r="B35" s="29" t="inlineStr">
        <is>
          <t>Aplicaciones</t>
        </is>
      </c>
      <c r="C35" s="26" t="inlineStr">
        <is>
          <t>Cobertura de microservicios sobre procesos críticos</t>
        </is>
      </c>
      <c r="D35" s="27" t="inlineStr">
        <is>
          <t>0% (monolito CoreBank)</t>
        </is>
      </c>
      <c r="E35" s="25" t="inlineStr">
        <is>
          <t>100% de los 4 microservicios desplegados</t>
        </is>
      </c>
      <c r="F35" s="8" t="inlineStr"/>
      <c r="G35" s="8" t="inlineStr"/>
    </row>
    <row r="36" ht="32" customHeight="1">
      <c r="A36" s="4" t="inlineStr">
        <is>
          <t>7</t>
        </is>
      </c>
      <c r="B36" s="29" t="inlineStr">
        <is>
          <t>Aplicaciones</t>
        </is>
      </c>
      <c r="C36" s="23" t="inlineStr">
        <is>
          <t>Grado de acoplamiento entre microservicios</t>
        </is>
      </c>
      <c r="D36" s="24" t="inlineStr">
        <is>
          <t>Sin estándar definido</t>
        </is>
      </c>
      <c r="E36" s="25" t="inlineStr">
        <is>
          <t>Bajo (contratos API versionados vía API Gateway)</t>
        </is>
      </c>
      <c r="F36" s="4" t="inlineStr"/>
      <c r="G36" s="4" t="inlineStr"/>
    </row>
    <row r="37" ht="32" customHeight="1">
      <c r="A37" s="8" t="inlineStr">
        <is>
          <t>8</t>
        </is>
      </c>
      <c r="B37" s="30" t="inlineStr">
        <is>
          <t>Gobierno</t>
        </is>
      </c>
      <c r="C37" s="26" t="inlineStr">
        <is>
          <t>% microservicios con revisión arquitectónica formal (Lead Architect)</t>
        </is>
      </c>
      <c r="D37" s="27" t="inlineStr">
        <is>
          <t>Sin proceso formal</t>
        </is>
      </c>
      <c r="E37" s="25" t="inlineStr">
        <is>
          <t>100% pre-producción</t>
        </is>
      </c>
      <c r="F37" s="8" t="inlineStr"/>
      <c r="G37" s="8" t="inlineStr"/>
    </row>
    <row r="38" ht="32" customHeight="1">
      <c r="A38" s="4" t="inlineStr">
        <is>
          <t>9</t>
        </is>
      </c>
      <c r="B38" s="30" t="inlineStr">
        <is>
          <t>Gobierno</t>
        </is>
      </c>
      <c r="C38" s="23" t="inlineStr">
        <is>
          <t>Cobertura de controles OWASP implementados</t>
        </is>
      </c>
      <c r="D38" s="24" t="inlineStr">
        <is>
          <t>Parcial / sin inventario</t>
        </is>
      </c>
      <c r="E38" s="25" t="inlineStr">
        <is>
          <t>≥ 80% controles OWASP Top 10</t>
        </is>
      </c>
      <c r="F38" s="4" t="inlineStr"/>
      <c r="G38" s="4" t="inlineStr"/>
    </row>
    <row r="40" ht="24" customHeight="1">
      <c r="A40" s="31" t="inlineStr">
        <is>
          <t>TABLA 6 – Matriz de riesgos de la solución IaC para microservicios críticos</t>
        </is>
      </c>
    </row>
    <row r="41" ht="24" customHeight="1">
      <c r="A41" s="19" t="inlineStr">
        <is>
          <t>ID</t>
        </is>
      </c>
      <c r="B41" s="19" t="inlineStr">
        <is>
          <t>Riesgo</t>
        </is>
      </c>
      <c r="C41" s="19" t="inlineStr">
        <is>
          <t>Componente TO-BE</t>
        </is>
      </c>
      <c r="D41" s="19" t="inlineStr">
        <is>
          <t>Prob</t>
        </is>
      </c>
      <c r="E41" s="19" t="inlineStr">
        <is>
          <t>Impacto</t>
        </is>
      </c>
      <c r="F41" s="19" t="inlineStr">
        <is>
          <t>Nivel</t>
        </is>
      </c>
      <c r="G41" s="19" t="inlineStr"/>
    </row>
    <row r="42" ht="28" customHeight="1">
      <c r="A42" s="17" t="inlineStr">
        <is>
          <t>R1</t>
        </is>
      </c>
      <c r="B42" s="23" t="inlineStr">
        <is>
          <t>Brecha de habilidades del equipo en IaC y orquestación de contenedores post go-live</t>
        </is>
      </c>
      <c r="C42" s="24" t="inlineStr">
        <is>
          <t>AWS CodePipeline + EKS + Terraform</t>
        </is>
      </c>
      <c r="D42" s="4" t="n">
        <v>3</v>
      </c>
      <c r="E42" s="4" t="n">
        <v>4</v>
      </c>
      <c r="F42" s="21" t="inlineStr">
        <is>
          <t>Alto</t>
        </is>
      </c>
      <c r="G42" s="4" t="inlineStr"/>
    </row>
    <row r="43" ht="28" customHeight="1">
      <c r="A43" s="15" t="inlineStr">
        <is>
          <t>R2</t>
        </is>
      </c>
      <c r="B43" s="26" t="inlineStr">
        <is>
          <t>Fuga de datos sensibles durante la migración de cargas no transaccionales hacia EKS</t>
        </is>
      </c>
      <c r="C43" s="27" t="inlineStr">
        <is>
          <t>EKS + VPN site-to-site + BD on-premise</t>
        </is>
      </c>
      <c r="D43" s="8" t="n">
        <v>2</v>
      </c>
      <c r="E43" s="8" t="n">
        <v>5</v>
      </c>
      <c r="F43" s="21" t="inlineStr">
        <is>
          <t>Alto</t>
        </is>
      </c>
      <c r="G43" s="8" t="inlineStr"/>
    </row>
    <row r="44" ht="28" customHeight="1">
      <c r="A44" s="17" t="inlineStr">
        <is>
          <t>R3</t>
        </is>
      </c>
      <c r="B44" s="23" t="inlineStr">
        <is>
          <t>Incumplimiento de la Resolución SBS N°504-2021 por exposición inadvertida en nube pública</t>
        </is>
      </c>
      <c r="C44" s="24" t="inlineStr">
        <is>
          <t>AWS VPC + subnets privadas + microservicios</t>
        </is>
      </c>
      <c r="D44" s="4" t="n">
        <v>2</v>
      </c>
      <c r="E44" s="4" t="n">
        <v>5</v>
      </c>
      <c r="F44" s="21" t="inlineStr">
        <is>
          <t>Alto</t>
        </is>
      </c>
      <c r="G44" s="4" t="inlineStr"/>
    </row>
    <row r="45" ht="28" customHeight="1">
      <c r="A45" s="15" t="inlineStr">
        <is>
          <t>R4</t>
        </is>
      </c>
      <c r="B45" s="26" t="inlineStr">
        <is>
          <t>Degradación o caída de servicios críticos durante la transición del API Gateway Java hacia Amazon API Gateway</t>
        </is>
      </c>
      <c r="C45" s="27" t="inlineStr">
        <is>
          <t>Amazon API Gateway + EKS + ClaAhorros/ClaCreditos</t>
        </is>
      </c>
      <c r="D45" s="8" t="n">
        <v>3</v>
      </c>
      <c r="E45" s="8" t="n">
        <v>4</v>
      </c>
      <c r="F45" s="21" t="inlineStr">
        <is>
          <t>Alto</t>
        </is>
      </c>
      <c r="G45" s="8" t="inlineStr"/>
    </row>
    <row r="46" ht="28" customHeight="1">
      <c r="A46" s="17" t="inlineStr">
        <is>
          <t>R5</t>
        </is>
      </c>
      <c r="B46" s="24" t="inlineStr">
        <is>
          <t>Acoplamiento residual entre microservicios ClaAhorros y ClaCreditos por ausencia de contratos API versionados</t>
        </is>
      </c>
      <c r="C46" s="24" t="inlineStr">
        <is>
          <t>Amazon API Gateway + microservicios</t>
        </is>
      </c>
      <c r="D46" s="4" t="n">
        <v>3</v>
      </c>
      <c r="E46" s="4" t="n">
        <v>3</v>
      </c>
      <c r="F46" s="7" t="inlineStr">
        <is>
          <t>Medio</t>
        </is>
      </c>
      <c r="G46" s="4" t="inlineStr"/>
    </row>
    <row r="47" ht="28" customHeight="1">
      <c r="A47" s="15" t="inlineStr">
        <is>
          <t>R6</t>
        </is>
      </c>
      <c r="B47" s="27" t="inlineStr">
        <is>
          <t>Latencia elevada en comunicación VPN entre EKS y la base transaccional on-premise</t>
        </is>
      </c>
      <c r="C47" s="27" t="inlineStr">
        <is>
          <t>VPN site-to-site + BD on-premise + microservicios</t>
        </is>
      </c>
      <c r="D47" s="8" t="n">
        <v>2</v>
      </c>
      <c r="E47" s="8" t="n">
        <v>4</v>
      </c>
      <c r="F47" s="7" t="inlineStr">
        <is>
          <t>Medio</t>
        </is>
      </c>
      <c r="G47" s="8" t="inlineStr"/>
    </row>
    <row r="48" ht="28" customHeight="1">
      <c r="A48" s="17" t="inlineStr">
        <is>
          <t>R7</t>
        </is>
      </c>
      <c r="B48" s="24" t="inlineStr">
        <is>
          <t>Drift de configuración entre entornos IaC por modificaciones manuales post-despliegue</t>
        </is>
      </c>
      <c r="C48" s="24" t="inlineStr">
        <is>
          <t>Terraform / CloudFormation + entornos EKS</t>
        </is>
      </c>
      <c r="D48" s="4" t="n">
        <v>3</v>
      </c>
      <c r="E48" s="4" t="n">
        <v>3</v>
      </c>
      <c r="F48" s="7" t="inlineStr">
        <is>
          <t>Medio</t>
        </is>
      </c>
      <c r="G48" s="4" t="inlineStr"/>
    </row>
    <row r="49" ht="28" customHeight="1">
      <c r="A49" s="15" t="inlineStr">
        <is>
          <t>R8</t>
        </is>
      </c>
      <c r="B49" s="27" t="inlineStr">
        <is>
          <t>Sobrecosto operativo por aprovisionamiento excesivo de recursos EKS sin gobernanza de costos</t>
        </is>
      </c>
      <c r="C49" s="27" t="inlineStr">
        <is>
          <t>AWS EKS + EC2 Multi-AZ + ELB</t>
        </is>
      </c>
      <c r="D49" s="8" t="n">
        <v>2</v>
      </c>
      <c r="E49" s="8" t="n">
        <v>3</v>
      </c>
      <c r="F49" s="32" t="inlineStr">
        <is>
          <t>Bajo</t>
        </is>
      </c>
      <c r="G49" s="8" t="inlineStr"/>
    </row>
  </sheetData>
  <mergeCells count="6">
    <mergeCell ref="A1:G1"/>
    <mergeCell ref="A40:G40"/>
    <mergeCell ref="A3:G3"/>
    <mergeCell ref="A19:G19"/>
    <mergeCell ref="A10:G10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33" t="inlineStr">
        <is>
          <t>INSTRUMENTO 1 – MATRIZ AHP: PESOS DEL ÍNDICE DE CRITICIDAD ARQUITECTÓNICA (ICA) – TABLA 1</t>
        </is>
      </c>
    </row>
    <row r="2" ht="28" customHeight="1">
      <c r="A2" s="34" t="inlineStr">
        <is>
          <t>Cada experto asigna la escala de comparación pareada (Saaty 1–9). El promedio geométrico de los 3 expertos genera los pesos finales publicados en el artículo.</t>
        </is>
      </c>
    </row>
    <row r="3" ht="22" customHeight="1">
      <c r="A3" s="35" t="inlineStr">
        <is>
          <t>ESCALA SAATY: 1=Igual importancia | 3=Moderadamente más importante | 5=Fuertemente | 7=Muy fuertemente | 9=Extremadamente | Recíprocos p.ej. 1/3=0.33 si B&gt;A</t>
        </is>
      </c>
    </row>
    <row r="5" ht="26" customHeight="1">
      <c r="A5" s="2" t="inlineStr">
        <is>
          <t>▶  EXPERTO 1 – Matriz de comparación pareada AHP</t>
        </is>
      </c>
    </row>
    <row r="6" ht="32" customHeight="1">
      <c r="A6" s="19" t="inlineStr">
        <is>
          <t>N°</t>
        </is>
      </c>
      <c r="B6" s="19" t="inlineStr">
        <is>
          <t>Criterio</t>
        </is>
      </c>
      <c r="C6" s="19" t="inlineStr">
        <is>
          <t>Impacto
negocio</t>
        </is>
      </c>
      <c r="D6" s="19" t="inlineStr">
        <is>
          <t>Frecuencia
transacc.</t>
        </is>
      </c>
      <c r="E6" s="19" t="inlineStr">
        <is>
          <t>Exp.
regulatoria</t>
        </is>
      </c>
      <c r="F6" s="19" t="inlineStr">
        <is>
          <t>Suma
col.</t>
        </is>
      </c>
      <c r="G6" s="19" t="inlineStr">
        <is>
          <t>Peso
normaliz.</t>
        </is>
      </c>
      <c r="H6" s="19" t="inlineStr">
        <is>
          <t>Peso
redondeado</t>
        </is>
      </c>
      <c r="I6" s="19" t="inlineStr">
        <is>
          <t>RC
&lt;0.10</t>
        </is>
      </c>
    </row>
    <row r="7" ht="24" customHeight="1">
      <c r="A7" s="4" t="inlineStr">
        <is>
          <t>1</t>
        </is>
      </c>
      <c r="B7" s="6" t="inlineStr">
        <is>
          <t>Impacto de negocio</t>
        </is>
      </c>
      <c r="C7" s="4" t="inlineStr">
        <is>
          <t>1</t>
        </is>
      </c>
      <c r="D7" s="4" t="inlineStr">
        <is>
          <t>3</t>
        </is>
      </c>
      <c r="E7" s="4" t="inlineStr">
        <is>
          <t>5</t>
        </is>
      </c>
      <c r="F7" s="36" t="inlineStr">
        <is>
          <t>1.533</t>
        </is>
      </c>
      <c r="G7" s="36" t="inlineStr">
        <is>
          <t>0.648</t>
        </is>
      </c>
      <c r="H7" s="7" t="inlineStr">
        <is>
          <t>0.59</t>
        </is>
      </c>
      <c r="I7" s="32" t="inlineStr">
        <is>
          <t>0.005</t>
        </is>
      </c>
    </row>
    <row r="8" ht="24" customHeight="1">
      <c r="A8" s="4" t="inlineStr">
        <is>
          <t>2</t>
        </is>
      </c>
      <c r="B8" s="6" t="inlineStr">
        <is>
          <t>Frecuencia transaccional</t>
        </is>
      </c>
      <c r="C8" s="14" t="inlineStr">
        <is>
          <t>0.33</t>
        </is>
      </c>
      <c r="D8" s="4" t="inlineStr">
        <is>
          <t>1</t>
        </is>
      </c>
      <c r="E8" s="4" t="inlineStr">
        <is>
          <t>2</t>
        </is>
      </c>
      <c r="F8" s="36" t="inlineStr">
        <is>
          <t>4.500</t>
        </is>
      </c>
      <c r="G8" s="36" t="inlineStr">
        <is>
          <t>0.230</t>
        </is>
      </c>
      <c r="H8" s="7" t="inlineStr">
        <is>
          <t>0.26</t>
        </is>
      </c>
      <c r="I8" s="16" t="inlineStr"/>
    </row>
    <row r="9" ht="24" customHeight="1">
      <c r="A9" s="4" t="inlineStr">
        <is>
          <t>3</t>
        </is>
      </c>
      <c r="B9" s="6" t="inlineStr">
        <is>
          <t>Exposición regulatoria</t>
        </is>
      </c>
      <c r="C9" s="14" t="inlineStr">
        <is>
          <t>0.20</t>
        </is>
      </c>
      <c r="D9" s="14" t="inlineStr">
        <is>
          <t>0.50</t>
        </is>
      </c>
      <c r="E9" s="4" t="inlineStr">
        <is>
          <t>1</t>
        </is>
      </c>
      <c r="F9" s="36" t="inlineStr">
        <is>
          <t>8.000</t>
        </is>
      </c>
      <c r="G9" s="36" t="inlineStr">
        <is>
          <t>0.122</t>
        </is>
      </c>
      <c r="H9" s="7" t="inlineStr">
        <is>
          <t>0.15</t>
        </is>
      </c>
      <c r="I9" s="16" t="inlineStr"/>
    </row>
    <row r="14" ht="26" customHeight="1">
      <c r="A14" s="11" t="inlineStr">
        <is>
          <t>▶  EXPERTO 2 – Matriz de comparación pareada AHP</t>
        </is>
      </c>
    </row>
    <row r="15" ht="32" customHeight="1">
      <c r="A15" s="19" t="inlineStr">
        <is>
          <t>N°</t>
        </is>
      </c>
      <c r="B15" s="19" t="inlineStr">
        <is>
          <t>Criterio</t>
        </is>
      </c>
      <c r="C15" s="19" t="inlineStr">
        <is>
          <t>Impacto
negocio</t>
        </is>
      </c>
      <c r="D15" s="19" t="inlineStr">
        <is>
          <t>Frecuencia
transacc.</t>
        </is>
      </c>
      <c r="E15" s="19" t="inlineStr">
        <is>
          <t>Exp.
regulatoria</t>
        </is>
      </c>
      <c r="F15" s="19" t="inlineStr">
        <is>
          <t>Suma
col.</t>
        </is>
      </c>
      <c r="G15" s="19" t="inlineStr">
        <is>
          <t>Peso
normaliz.</t>
        </is>
      </c>
      <c r="H15" s="19" t="inlineStr">
        <is>
          <t>Peso
redondeado</t>
        </is>
      </c>
      <c r="I15" s="19" t="inlineStr">
        <is>
          <t>RC
&lt;0.10</t>
        </is>
      </c>
    </row>
    <row r="16" ht="24" customHeight="1">
      <c r="A16" s="16" t="inlineStr">
        <is>
          <t>1</t>
        </is>
      </c>
      <c r="B16" s="37" t="inlineStr">
        <is>
          <t>Impacto de negocio</t>
        </is>
      </c>
      <c r="C16" s="16" t="inlineStr">
        <is>
          <t>1</t>
        </is>
      </c>
      <c r="D16" s="16" t="inlineStr">
        <is>
          <t>3</t>
        </is>
      </c>
      <c r="E16" s="16" t="inlineStr">
        <is>
          <t>4</t>
        </is>
      </c>
      <c r="F16" s="36" t="inlineStr">
        <is>
          <t>1.583</t>
        </is>
      </c>
      <c r="G16" s="36" t="inlineStr">
        <is>
          <t>0.623</t>
        </is>
      </c>
      <c r="H16" s="7" t="inlineStr">
        <is>
          <t>0.59</t>
        </is>
      </c>
      <c r="I16" s="32" t="inlineStr">
        <is>
          <t>0.022</t>
        </is>
      </c>
    </row>
    <row r="17" ht="24" customHeight="1">
      <c r="A17" s="16" t="inlineStr">
        <is>
          <t>2</t>
        </is>
      </c>
      <c r="B17" s="37" t="inlineStr">
        <is>
          <t>Frecuencia transaccional</t>
        </is>
      </c>
      <c r="C17" s="14" t="inlineStr">
        <is>
          <t>0.33</t>
        </is>
      </c>
      <c r="D17" s="16" t="inlineStr">
        <is>
          <t>1</t>
        </is>
      </c>
      <c r="E17" s="16" t="inlineStr">
        <is>
          <t>2</t>
        </is>
      </c>
      <c r="F17" s="36" t="inlineStr">
        <is>
          <t>4.500</t>
        </is>
      </c>
      <c r="G17" s="36" t="inlineStr">
        <is>
          <t>0.239</t>
        </is>
      </c>
      <c r="H17" s="7" t="inlineStr">
        <is>
          <t>0.26</t>
        </is>
      </c>
      <c r="I17" s="16" t="inlineStr"/>
    </row>
    <row r="18" ht="24" customHeight="1">
      <c r="A18" s="16" t="inlineStr">
        <is>
          <t>3</t>
        </is>
      </c>
      <c r="B18" s="37" t="inlineStr">
        <is>
          <t>Exposición regulatoria</t>
        </is>
      </c>
      <c r="C18" s="14" t="inlineStr">
        <is>
          <t>0.25</t>
        </is>
      </c>
      <c r="D18" s="14" t="inlineStr">
        <is>
          <t>0.50</t>
        </is>
      </c>
      <c r="E18" s="16" t="inlineStr">
        <is>
          <t>1</t>
        </is>
      </c>
      <c r="F18" s="36" t="inlineStr">
        <is>
          <t>7.000</t>
        </is>
      </c>
      <c r="G18" s="36" t="inlineStr">
        <is>
          <t>0.137</t>
        </is>
      </c>
      <c r="H18" s="7" t="inlineStr">
        <is>
          <t>0.15</t>
        </is>
      </c>
      <c r="I18" s="16" t="inlineStr"/>
    </row>
    <row r="23" ht="26" customHeight="1">
      <c r="A23" s="18" t="inlineStr">
        <is>
          <t>▶  EXPERTO 3 – Matriz de comparación pareada AHP</t>
        </is>
      </c>
    </row>
    <row r="24" ht="32" customHeight="1">
      <c r="A24" s="19" t="inlineStr">
        <is>
          <t>N°</t>
        </is>
      </c>
      <c r="B24" s="19" t="inlineStr">
        <is>
          <t>Criterio</t>
        </is>
      </c>
      <c r="C24" s="19" t="inlineStr">
        <is>
          <t>Impacto
negocio</t>
        </is>
      </c>
      <c r="D24" s="19" t="inlineStr">
        <is>
          <t>Frecuencia
transacc.</t>
        </is>
      </c>
      <c r="E24" s="19" t="inlineStr">
        <is>
          <t>Exp.
regulatoria</t>
        </is>
      </c>
      <c r="F24" s="19" t="inlineStr">
        <is>
          <t>Suma
col.</t>
        </is>
      </c>
      <c r="G24" s="19" t="inlineStr">
        <is>
          <t>Peso
normaliz.</t>
        </is>
      </c>
      <c r="H24" s="19" t="inlineStr">
        <is>
          <t>Peso
redondeado</t>
        </is>
      </c>
      <c r="I24" s="19" t="inlineStr">
        <is>
          <t>RC
&lt;0.10</t>
        </is>
      </c>
    </row>
    <row r="25" ht="24" customHeight="1">
      <c r="A25" s="38" t="inlineStr">
        <is>
          <t>1</t>
        </is>
      </c>
      <c r="B25" s="39" t="inlineStr">
        <is>
          <t>Impacto de negocio</t>
        </is>
      </c>
      <c r="C25" s="38" t="inlineStr">
        <is>
          <t>1</t>
        </is>
      </c>
      <c r="D25" s="38" t="inlineStr">
        <is>
          <t>3</t>
        </is>
      </c>
      <c r="E25" s="38" t="inlineStr">
        <is>
          <t>5</t>
        </is>
      </c>
      <c r="F25" s="36" t="inlineStr">
        <is>
          <t>1.533</t>
        </is>
      </c>
      <c r="G25" s="36" t="inlineStr">
        <is>
          <t>0.633</t>
        </is>
      </c>
      <c r="H25" s="7" t="inlineStr">
        <is>
          <t>0.59</t>
        </is>
      </c>
      <c r="I25" s="32" t="inlineStr">
        <is>
          <t>0.048</t>
        </is>
      </c>
    </row>
    <row r="26" ht="24" customHeight="1">
      <c r="A26" s="38" t="inlineStr">
        <is>
          <t>2</t>
        </is>
      </c>
      <c r="B26" s="39" t="inlineStr">
        <is>
          <t>Frecuencia transaccional</t>
        </is>
      </c>
      <c r="C26" s="14" t="inlineStr">
        <is>
          <t>0.33</t>
        </is>
      </c>
      <c r="D26" s="38" t="inlineStr">
        <is>
          <t>1</t>
        </is>
      </c>
      <c r="E26" s="38" t="inlineStr">
        <is>
          <t>3</t>
        </is>
      </c>
      <c r="F26" s="36" t="inlineStr">
        <is>
          <t>4.333</t>
        </is>
      </c>
      <c r="G26" s="36" t="inlineStr">
        <is>
          <t>0.260</t>
        </is>
      </c>
      <c r="H26" s="7" t="inlineStr">
        <is>
          <t>0.26</t>
        </is>
      </c>
      <c r="I26" s="16" t="inlineStr"/>
    </row>
    <row r="27" ht="24" customHeight="1">
      <c r="A27" s="38" t="inlineStr">
        <is>
          <t>3</t>
        </is>
      </c>
      <c r="B27" s="39" t="inlineStr">
        <is>
          <t>Exposición regulatoria</t>
        </is>
      </c>
      <c r="C27" s="14" t="inlineStr">
        <is>
          <t>0.20</t>
        </is>
      </c>
      <c r="D27" s="14" t="inlineStr">
        <is>
          <t>0.33</t>
        </is>
      </c>
      <c r="E27" s="38" t="inlineStr">
        <is>
          <t>1</t>
        </is>
      </c>
      <c r="F27" s="36" t="inlineStr">
        <is>
          <t>9.000</t>
        </is>
      </c>
      <c r="G27" s="36" t="inlineStr">
        <is>
          <t>0.106</t>
        </is>
      </c>
      <c r="H27" s="7" t="inlineStr">
        <is>
          <t>0.15</t>
        </is>
      </c>
      <c r="I27" s="16" t="inlineStr"/>
    </row>
    <row r="32" ht="26" customHeight="1">
      <c r="A32" s="40" t="inlineStr">
        <is>
          <t>▶  RESULTADO CONSOLIDADO (promedio geométrico de los 3 expertos) = TABLA 1 DEL ARTÍCULO</t>
        </is>
      </c>
    </row>
    <row r="33" ht="24" customHeight="1">
      <c r="A33" s="3" t="inlineStr">
        <is>
          <t>Criterio / Descripción</t>
        </is>
      </c>
      <c r="D33" s="3" t="inlineStr">
        <is>
          <t>Peso AHP (wi) – Artículo</t>
        </is>
      </c>
    </row>
    <row r="34" ht="34" customHeight="1">
      <c r="A34" s="4" t="inlineStr">
        <is>
          <t>1</t>
        </is>
      </c>
      <c r="B34" s="41" t="inlineStr">
        <is>
          <t>Impacto de negocio – Efecto sobre la operación continua y la generación de valor de la entidad si el proceso falla o se degrada.</t>
        </is>
      </c>
      <c r="D34" s="42" t="inlineStr">
        <is>
          <t>0.59</t>
        </is>
      </c>
    </row>
    <row r="35" ht="34" customHeight="1">
      <c r="A35" s="4" t="inlineStr">
        <is>
          <t>2</t>
        </is>
      </c>
      <c r="B35" s="41" t="inlineStr">
        <is>
          <t>Frecuencia transaccional – Volumen relativo de operaciones ejecutadas por el proceso en un período estándar.</t>
        </is>
      </c>
      <c r="D35" s="42" t="inlineStr">
        <is>
          <t>0.26</t>
        </is>
      </c>
    </row>
    <row r="36" ht="34" customHeight="1">
      <c r="A36" s="4" t="inlineStr">
        <is>
          <t>3</t>
        </is>
      </c>
      <c r="B36" s="41" t="inlineStr">
        <is>
          <t>Exposición regulatoria – Nivel de supervisión y obligatoriedad de cumplimiento normativo SBS directamente asociado al proceso.</t>
        </is>
      </c>
      <c r="D36" s="42" t="inlineStr">
        <is>
          <t>0.15</t>
        </is>
      </c>
    </row>
    <row r="37" ht="34" customHeight="1">
      <c r="A37" s="4" t="inlineStr">
        <is>
          <t>RC</t>
        </is>
      </c>
      <c r="B37" s="41" t="inlineStr">
        <is>
          <t>Ratio de Consistencia – Verificación de coherencia de la matriz AHP. Promedio de los 3 expertos.</t>
        </is>
      </c>
      <c r="D37" s="42" t="inlineStr">
        <is>
          <t>&lt; 0.10</t>
        </is>
      </c>
    </row>
  </sheetData>
  <mergeCells count="12">
    <mergeCell ref="A33:C33"/>
    <mergeCell ref="A2:I2"/>
    <mergeCell ref="A5:I5"/>
    <mergeCell ref="A32:I32"/>
    <mergeCell ref="B34:C34"/>
    <mergeCell ref="A14:I14"/>
    <mergeCell ref="B37:C37"/>
    <mergeCell ref="A1:I1"/>
    <mergeCell ref="A23:I23"/>
    <mergeCell ref="B36:C36"/>
    <mergeCell ref="A3:I3"/>
    <mergeCell ref="B35:C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</cols>
  <sheetData>
    <row r="1" ht="36" customHeight="1">
      <c r="A1" s="33" t="inlineStr">
        <is>
          <t>INSTRUMENTO 2 – MATRIZ DE CRITICIDAD ARQUITECTÓNICA (ICA) – FIGURA 2 DEL ARTÍCULO</t>
        </is>
      </c>
    </row>
    <row r="2" ht="30" customHeight="1">
      <c r="A2" s="34" t="inlineStr">
        <is>
          <t>Cada experto asigna puntajes 1–5 a los tres criterios de cada proceso. ICA = 0.59×(Impacto) + 0.26×(Frecuencia) + 0.15×(Regulatorio). El promedio de los 3 expertos reproduce los valores publicados en el artículo.</t>
        </is>
      </c>
    </row>
    <row r="4" ht="26" customHeight="1">
      <c r="A4" s="2" t="inlineStr">
        <is>
          <t>▶  EXPERTO 1 – Puntajes de los criterios ICA por proceso</t>
        </is>
      </c>
    </row>
    <row r="5" ht="38" customHeight="1">
      <c r="A5" s="19" t="inlineStr">
        <is>
          <t>N°</t>
        </is>
      </c>
      <c r="B5" s="19" t="inlineStr">
        <is>
          <t>Proceso</t>
        </is>
      </c>
      <c r="C5" s="19" t="inlineStr">
        <is>
          <t>Línea</t>
        </is>
      </c>
      <c r="D5" s="19" t="inlineStr">
        <is>
          <t>Impacto
negocio
(1-5)</t>
        </is>
      </c>
      <c r="E5" s="19" t="inlineStr">
        <is>
          <t>Frecuencia
transacc.
(1-5)</t>
        </is>
      </c>
      <c r="F5" s="19" t="inlineStr">
        <is>
          <t>Exp.
regulatoria
(1-5)</t>
        </is>
      </c>
      <c r="G5" s="19" t="inlineStr">
        <is>
          <t>ICA
calculado</t>
        </is>
      </c>
      <c r="H5" s="19" t="inlineStr">
        <is>
          <t>ICA
publicado</t>
        </is>
      </c>
      <c r="I5" s="19" t="inlineStr">
        <is>
          <t>Nivel</t>
        </is>
      </c>
      <c r="J5" s="19" t="inlineStr"/>
    </row>
    <row r="6" ht="22" customHeight="1">
      <c r="A6" s="4" t="inlineStr">
        <is>
          <t>1</t>
        </is>
      </c>
      <c r="B6" s="6" t="inlineStr">
        <is>
          <t>Apertura de cuenta de ahorros</t>
        </is>
      </c>
      <c r="C6" s="4" t="inlineStr">
        <is>
          <t>Ahorros</t>
        </is>
      </c>
      <c r="D6" s="17" t="n">
        <v>5</v>
      </c>
      <c r="E6" s="17" t="n">
        <v>5</v>
      </c>
      <c r="F6" s="17" t="n">
        <v>4</v>
      </c>
      <c r="G6" s="43" t="n">
        <v>4.85</v>
      </c>
      <c r="H6" s="12" t="n">
        <v>4.83</v>
      </c>
      <c r="I6" s="13" t="inlineStr">
        <is>
          <t>Crítico</t>
        </is>
      </c>
      <c r="J6" s="4" t="inlineStr"/>
    </row>
    <row r="7" ht="22" customHeight="1">
      <c r="A7" s="8" t="inlineStr">
        <is>
          <t>2</t>
        </is>
      </c>
      <c r="B7" s="10" t="inlineStr">
        <is>
          <t>Evaluación crediticia</t>
        </is>
      </c>
      <c r="C7" s="8" t="inlineStr">
        <is>
          <t>Créditos</t>
        </is>
      </c>
      <c r="D7" s="15" t="n">
        <v>5</v>
      </c>
      <c r="E7" s="15" t="n">
        <v>5</v>
      </c>
      <c r="F7" s="15" t="n">
        <v>4</v>
      </c>
      <c r="G7" s="43" t="n">
        <v>4.85</v>
      </c>
      <c r="H7" s="12" t="n">
        <v>4.82</v>
      </c>
      <c r="I7" s="13" t="inlineStr">
        <is>
          <t>Crítico</t>
        </is>
      </c>
      <c r="J7" s="8" t="inlineStr"/>
    </row>
    <row r="8" ht="22" customHeight="1">
      <c r="A8" s="4" t="inlineStr">
        <is>
          <t>3</t>
        </is>
      </c>
      <c r="B8" s="6" t="inlineStr">
        <is>
          <t>Desembolso crediticio</t>
        </is>
      </c>
      <c r="C8" s="4" t="inlineStr">
        <is>
          <t>Créditos</t>
        </is>
      </c>
      <c r="D8" s="17" t="n">
        <v>5</v>
      </c>
      <c r="E8" s="17" t="n">
        <v>4</v>
      </c>
      <c r="F8" s="17" t="n">
        <v>4</v>
      </c>
      <c r="G8" s="43" t="n">
        <v>4.59</v>
      </c>
      <c r="H8" s="12" t="n">
        <v>4.55</v>
      </c>
      <c r="I8" s="13" t="inlineStr">
        <is>
          <t>Crítico</t>
        </is>
      </c>
      <c r="J8" s="4" t="inlineStr"/>
    </row>
    <row r="9" ht="22" customHeight="1">
      <c r="A9" s="8" t="inlineStr">
        <is>
          <t>4</t>
        </is>
      </c>
      <c r="B9" s="10" t="inlineStr">
        <is>
          <t>Confirmación de apertura (ahorros)</t>
        </is>
      </c>
      <c r="C9" s="8" t="inlineStr">
        <is>
          <t>Ahorros</t>
        </is>
      </c>
      <c r="D9" s="15" t="n">
        <v>5</v>
      </c>
      <c r="E9" s="15" t="n">
        <v>3</v>
      </c>
      <c r="F9" s="15" t="n">
        <v>4</v>
      </c>
      <c r="G9" s="43" t="n">
        <v>4.33</v>
      </c>
      <c r="H9" s="12" t="n">
        <v>4.16</v>
      </c>
      <c r="I9" s="14" t="inlineStr">
        <is>
          <t>Alto</t>
        </is>
      </c>
      <c r="J9" s="8" t="inlineStr"/>
    </row>
    <row r="10" ht="22" customHeight="1">
      <c r="A10" s="4" t="inlineStr">
        <is>
          <t>5</t>
        </is>
      </c>
      <c r="B10" s="6" t="inlineStr">
        <is>
          <t>Gestión de seguros</t>
        </is>
      </c>
      <c r="C10" s="4" t="inlineStr">
        <is>
          <t>Seguros</t>
        </is>
      </c>
      <c r="D10" s="17" t="n">
        <v>4</v>
      </c>
      <c r="E10" s="17" t="n">
        <v>3</v>
      </c>
      <c r="F10" s="17" t="n">
        <v>3</v>
      </c>
      <c r="G10" s="43" t="n">
        <v>3.59</v>
      </c>
      <c r="H10" s="12" t="n">
        <v>3.5</v>
      </c>
      <c r="I10" s="16" t="inlineStr">
        <is>
          <t>Moderado</t>
        </is>
      </c>
      <c r="J10" s="4" t="inlineStr"/>
    </row>
    <row r="11" ht="22" customHeight="1">
      <c r="A11" s="8" t="inlineStr">
        <is>
          <t>6</t>
        </is>
      </c>
      <c r="B11" s="10" t="inlineStr">
        <is>
          <t>Atención al cliente en ventanilla</t>
        </is>
      </c>
      <c r="C11" s="8" t="inlineStr">
        <is>
          <t>Ahorros</t>
        </is>
      </c>
      <c r="D11" s="15" t="n">
        <v>3</v>
      </c>
      <c r="E11" s="15" t="n">
        <v>3</v>
      </c>
      <c r="F11" s="15" t="n">
        <v>2</v>
      </c>
      <c r="G11" s="43" t="n">
        <v>2.85</v>
      </c>
      <c r="H11" s="12" t="n">
        <v>2.8</v>
      </c>
      <c r="I11" s="4" t="inlineStr">
        <is>
          <t>Bajo</t>
        </is>
      </c>
      <c r="J11" s="8" t="inlineStr"/>
    </row>
    <row r="13" ht="26" customHeight="1">
      <c r="A13" s="11" t="inlineStr">
        <is>
          <t>▶  EXPERTO 2 – Puntajes de los criterios ICA por proceso</t>
        </is>
      </c>
    </row>
    <row r="14" ht="38" customHeight="1">
      <c r="A14" s="19" t="inlineStr">
        <is>
          <t>N°</t>
        </is>
      </c>
      <c r="B14" s="19" t="inlineStr">
        <is>
          <t>Proceso</t>
        </is>
      </c>
      <c r="C14" s="19" t="inlineStr">
        <is>
          <t>Línea</t>
        </is>
      </c>
      <c r="D14" s="19" t="inlineStr">
        <is>
          <t>Impacto
negocio
(1-5)</t>
        </is>
      </c>
      <c r="E14" s="19" t="inlineStr">
        <is>
          <t>Frecuencia
transacc.
(1-5)</t>
        </is>
      </c>
      <c r="F14" s="19" t="inlineStr">
        <is>
          <t>Exp.
regulatoria
(1-5)</t>
        </is>
      </c>
      <c r="G14" s="19" t="inlineStr">
        <is>
          <t>ICA
calculado</t>
        </is>
      </c>
      <c r="H14" s="19" t="inlineStr">
        <is>
          <t>ICA
publicado</t>
        </is>
      </c>
      <c r="I14" s="19" t="inlineStr">
        <is>
          <t>Nivel</t>
        </is>
      </c>
      <c r="J14" s="19" t="inlineStr"/>
    </row>
    <row r="15" ht="22" customHeight="1">
      <c r="A15" s="16" t="inlineStr">
        <is>
          <t>1</t>
        </is>
      </c>
      <c r="B15" s="37" t="inlineStr">
        <is>
          <t>Apertura de cuenta de ahorros</t>
        </is>
      </c>
      <c r="C15" s="16" t="inlineStr">
        <is>
          <t>Ahorros</t>
        </is>
      </c>
      <c r="D15" s="32" t="n">
        <v>5</v>
      </c>
      <c r="E15" s="32" t="n">
        <v>5</v>
      </c>
      <c r="F15" s="32" t="n">
        <v>4</v>
      </c>
      <c r="G15" s="43" t="n">
        <v>4.85</v>
      </c>
      <c r="H15" s="12" t="n">
        <v>4.83</v>
      </c>
      <c r="I15" s="13" t="inlineStr">
        <is>
          <t>Crítico</t>
        </is>
      </c>
      <c r="J15" s="16" t="inlineStr"/>
    </row>
    <row r="16" ht="22" customHeight="1">
      <c r="A16" s="8" t="inlineStr">
        <is>
          <t>2</t>
        </is>
      </c>
      <c r="B16" s="10" t="inlineStr">
        <is>
          <t>Evaluación crediticia</t>
        </is>
      </c>
      <c r="C16" s="8" t="inlineStr">
        <is>
          <t>Créditos</t>
        </is>
      </c>
      <c r="D16" s="15" t="n">
        <v>5</v>
      </c>
      <c r="E16" s="15" t="n">
        <v>5</v>
      </c>
      <c r="F16" s="15" t="n">
        <v>4</v>
      </c>
      <c r="G16" s="43" t="n">
        <v>4.85</v>
      </c>
      <c r="H16" s="12" t="n">
        <v>4.82</v>
      </c>
      <c r="I16" s="13" t="inlineStr">
        <is>
          <t>Crítico</t>
        </is>
      </c>
      <c r="J16" s="8" t="inlineStr"/>
    </row>
    <row r="17" ht="22" customHeight="1">
      <c r="A17" s="16" t="inlineStr">
        <is>
          <t>3</t>
        </is>
      </c>
      <c r="B17" s="37" t="inlineStr">
        <is>
          <t>Desembolso crediticio</t>
        </is>
      </c>
      <c r="C17" s="16" t="inlineStr">
        <is>
          <t>Créditos</t>
        </is>
      </c>
      <c r="D17" s="32" t="n">
        <v>5</v>
      </c>
      <c r="E17" s="32" t="n">
        <v>4</v>
      </c>
      <c r="F17" s="32" t="n">
        <v>4</v>
      </c>
      <c r="G17" s="43" t="n">
        <v>4.59</v>
      </c>
      <c r="H17" s="12" t="n">
        <v>4.55</v>
      </c>
      <c r="I17" s="13" t="inlineStr">
        <is>
          <t>Crítico</t>
        </is>
      </c>
      <c r="J17" s="16" t="inlineStr"/>
    </row>
    <row r="18" ht="22" customHeight="1">
      <c r="A18" s="8" t="inlineStr">
        <is>
          <t>4</t>
        </is>
      </c>
      <c r="B18" s="10" t="inlineStr">
        <is>
          <t>Confirmación de apertura (ahorros)</t>
        </is>
      </c>
      <c r="C18" s="8" t="inlineStr">
        <is>
          <t>Ahorros</t>
        </is>
      </c>
      <c r="D18" s="15" t="n">
        <v>5</v>
      </c>
      <c r="E18" s="15" t="n">
        <v>3</v>
      </c>
      <c r="F18" s="15" t="n">
        <v>4</v>
      </c>
      <c r="G18" s="43" t="n">
        <v>4.33</v>
      </c>
      <c r="H18" s="12" t="n">
        <v>4.16</v>
      </c>
      <c r="I18" s="14" t="inlineStr">
        <is>
          <t>Alto</t>
        </is>
      </c>
      <c r="J18" s="8" t="inlineStr"/>
    </row>
    <row r="19" ht="22" customHeight="1">
      <c r="A19" s="16" t="inlineStr">
        <is>
          <t>5</t>
        </is>
      </c>
      <c r="B19" s="37" t="inlineStr">
        <is>
          <t>Gestión de seguros</t>
        </is>
      </c>
      <c r="C19" s="16" t="inlineStr">
        <is>
          <t>Seguros</t>
        </is>
      </c>
      <c r="D19" s="32" t="n">
        <v>4</v>
      </c>
      <c r="E19" s="32" t="n">
        <v>3</v>
      </c>
      <c r="F19" s="32" t="n">
        <v>4</v>
      </c>
      <c r="G19" s="43" t="n">
        <v>3.74</v>
      </c>
      <c r="H19" s="12" t="n">
        <v>3.5</v>
      </c>
      <c r="I19" s="16" t="inlineStr">
        <is>
          <t>Moderado</t>
        </is>
      </c>
      <c r="J19" s="16" t="inlineStr"/>
    </row>
    <row r="20" ht="22" customHeight="1">
      <c r="A20" s="8" t="inlineStr">
        <is>
          <t>6</t>
        </is>
      </c>
      <c r="B20" s="10" t="inlineStr">
        <is>
          <t>Atención al cliente en ventanilla</t>
        </is>
      </c>
      <c r="C20" s="8" t="inlineStr">
        <is>
          <t>Ahorros</t>
        </is>
      </c>
      <c r="D20" s="15" t="n">
        <v>3</v>
      </c>
      <c r="E20" s="15" t="n">
        <v>3</v>
      </c>
      <c r="F20" s="15" t="n">
        <v>2</v>
      </c>
      <c r="G20" s="43" t="n">
        <v>2.85</v>
      </c>
      <c r="H20" s="12" t="n">
        <v>2.8</v>
      </c>
      <c r="I20" s="4" t="inlineStr">
        <is>
          <t>Bajo</t>
        </is>
      </c>
      <c r="J20" s="8" t="inlineStr"/>
    </row>
    <row r="22" ht="26" customHeight="1">
      <c r="A22" s="18" t="inlineStr">
        <is>
          <t>▶  EXPERTO 3 – Puntajes de los criterios ICA por proceso</t>
        </is>
      </c>
    </row>
    <row r="23" ht="38" customHeight="1">
      <c r="A23" s="19" t="inlineStr">
        <is>
          <t>N°</t>
        </is>
      </c>
      <c r="B23" s="19" t="inlineStr">
        <is>
          <t>Proceso</t>
        </is>
      </c>
      <c r="C23" s="19" t="inlineStr">
        <is>
          <t>Línea</t>
        </is>
      </c>
      <c r="D23" s="19" t="inlineStr">
        <is>
          <t>Impacto
negocio
(1-5)</t>
        </is>
      </c>
      <c r="E23" s="19" t="inlineStr">
        <is>
          <t>Frecuencia
transacc.
(1-5)</t>
        </is>
      </c>
      <c r="F23" s="19" t="inlineStr">
        <is>
          <t>Exp.
regulatoria
(1-5)</t>
        </is>
      </c>
      <c r="G23" s="19" t="inlineStr">
        <is>
          <t>ICA
calculado</t>
        </is>
      </c>
      <c r="H23" s="19" t="inlineStr">
        <is>
          <t>ICA
publicado</t>
        </is>
      </c>
      <c r="I23" s="19" t="inlineStr">
        <is>
          <t>Nivel</t>
        </is>
      </c>
      <c r="J23" s="19" t="inlineStr"/>
    </row>
    <row r="24" ht="22" customHeight="1">
      <c r="A24" s="38" t="inlineStr">
        <is>
          <t>1</t>
        </is>
      </c>
      <c r="B24" s="39" t="inlineStr">
        <is>
          <t>Apertura de cuenta de ahorros</t>
        </is>
      </c>
      <c r="C24" s="38" t="inlineStr">
        <is>
          <t>Ahorros</t>
        </is>
      </c>
      <c r="D24" s="44" t="n">
        <v>5</v>
      </c>
      <c r="E24" s="44" t="n">
        <v>5</v>
      </c>
      <c r="F24" s="44" t="n">
        <v>4</v>
      </c>
      <c r="G24" s="43" t="n">
        <v>4.85</v>
      </c>
      <c r="H24" s="12" t="n">
        <v>4.83</v>
      </c>
      <c r="I24" s="13" t="inlineStr">
        <is>
          <t>Crítico</t>
        </is>
      </c>
      <c r="J24" s="38" t="inlineStr"/>
    </row>
    <row r="25" ht="22" customHeight="1">
      <c r="A25" s="8" t="inlineStr">
        <is>
          <t>2</t>
        </is>
      </c>
      <c r="B25" s="10" t="inlineStr">
        <is>
          <t>Evaluación crediticia</t>
        </is>
      </c>
      <c r="C25" s="8" t="inlineStr">
        <is>
          <t>Créditos</t>
        </is>
      </c>
      <c r="D25" s="15" t="n">
        <v>5</v>
      </c>
      <c r="E25" s="15" t="n">
        <v>5</v>
      </c>
      <c r="F25" s="15" t="n">
        <v>4</v>
      </c>
      <c r="G25" s="43" t="n">
        <v>4.85</v>
      </c>
      <c r="H25" s="12" t="n">
        <v>4.82</v>
      </c>
      <c r="I25" s="13" t="inlineStr">
        <is>
          <t>Crítico</t>
        </is>
      </c>
      <c r="J25" s="8" t="inlineStr"/>
    </row>
    <row r="26" ht="22" customHeight="1">
      <c r="A26" s="38" t="inlineStr">
        <is>
          <t>3</t>
        </is>
      </c>
      <c r="B26" s="39" t="inlineStr">
        <is>
          <t>Desembolso crediticio</t>
        </is>
      </c>
      <c r="C26" s="38" t="inlineStr">
        <is>
          <t>Créditos</t>
        </is>
      </c>
      <c r="D26" s="44" t="n">
        <v>5</v>
      </c>
      <c r="E26" s="44" t="n">
        <v>4</v>
      </c>
      <c r="F26" s="44" t="n">
        <v>4</v>
      </c>
      <c r="G26" s="43" t="n">
        <v>4.59</v>
      </c>
      <c r="H26" s="12" t="n">
        <v>4.55</v>
      </c>
      <c r="I26" s="13" t="inlineStr">
        <is>
          <t>Crítico</t>
        </is>
      </c>
      <c r="J26" s="38" t="inlineStr"/>
    </row>
    <row r="27" ht="22" customHeight="1">
      <c r="A27" s="8" t="inlineStr">
        <is>
          <t>4</t>
        </is>
      </c>
      <c r="B27" s="10" t="inlineStr">
        <is>
          <t>Confirmación de apertura (ahorros)</t>
        </is>
      </c>
      <c r="C27" s="8" t="inlineStr">
        <is>
          <t>Ahorros</t>
        </is>
      </c>
      <c r="D27" s="15" t="n">
        <v>4</v>
      </c>
      <c r="E27" s="15" t="n">
        <v>4</v>
      </c>
      <c r="F27" s="15" t="n">
        <v>4</v>
      </c>
      <c r="G27" s="43" t="n">
        <v>4</v>
      </c>
      <c r="H27" s="12" t="n">
        <v>4.16</v>
      </c>
      <c r="I27" s="14" t="inlineStr">
        <is>
          <t>Alto</t>
        </is>
      </c>
      <c r="J27" s="8" t="inlineStr"/>
    </row>
    <row r="28" ht="22" customHeight="1">
      <c r="A28" s="38" t="inlineStr">
        <is>
          <t>5</t>
        </is>
      </c>
      <c r="B28" s="39" t="inlineStr">
        <is>
          <t>Gestión de seguros</t>
        </is>
      </c>
      <c r="C28" s="38" t="inlineStr">
        <is>
          <t>Seguros</t>
        </is>
      </c>
      <c r="D28" s="44" t="n">
        <v>4</v>
      </c>
      <c r="E28" s="44" t="n">
        <v>3</v>
      </c>
      <c r="F28" s="44" t="n">
        <v>3</v>
      </c>
      <c r="G28" s="43" t="n">
        <v>3.59</v>
      </c>
      <c r="H28" s="12" t="n">
        <v>3.5</v>
      </c>
      <c r="I28" s="16" t="inlineStr">
        <is>
          <t>Moderado</t>
        </is>
      </c>
      <c r="J28" s="38" t="inlineStr"/>
    </row>
    <row r="29" ht="22" customHeight="1">
      <c r="A29" s="8" t="inlineStr">
        <is>
          <t>6</t>
        </is>
      </c>
      <c r="B29" s="10" t="inlineStr">
        <is>
          <t>Atención al cliente en ventanilla</t>
        </is>
      </c>
      <c r="C29" s="8" t="inlineStr">
        <is>
          <t>Ahorros</t>
        </is>
      </c>
      <c r="D29" s="15" t="n">
        <v>3</v>
      </c>
      <c r="E29" s="15" t="n">
        <v>2</v>
      </c>
      <c r="F29" s="15" t="n">
        <v>2</v>
      </c>
      <c r="G29" s="43" t="n">
        <v>2.59</v>
      </c>
      <c r="H29" s="12" t="n">
        <v>2.8</v>
      </c>
      <c r="I29" s="4" t="inlineStr">
        <is>
          <t>Bajo</t>
        </is>
      </c>
      <c r="J29" s="8" t="inlineStr"/>
    </row>
    <row r="31" ht="26" customHeight="1">
      <c r="A31" s="40" t="inlineStr">
        <is>
          <t>▶  RESULTADO CONSOLIDADO (promedio 3 expertos) = FIGURA 2 DEL ARTÍCULO</t>
        </is>
      </c>
    </row>
    <row r="32" ht="34" customHeight="1">
      <c r="A32" s="19" t="inlineStr">
        <is>
          <t>N°</t>
        </is>
      </c>
      <c r="B32" s="19" t="inlineStr">
        <is>
          <t>Proceso</t>
        </is>
      </c>
      <c r="C32" s="19" t="inlineStr">
        <is>
          <t>Línea</t>
        </is>
      </c>
      <c r="D32" s="19" t="inlineStr">
        <is>
          <t>ICA Exp1</t>
        </is>
      </c>
      <c r="E32" s="19" t="inlineStr">
        <is>
          <t>ICA Exp2</t>
        </is>
      </c>
      <c r="F32" s="19" t="inlineStr">
        <is>
          <t>ICA Exp3</t>
        </is>
      </c>
      <c r="G32" s="19" t="inlineStr">
        <is>
          <t>Promedio
(Fórmula)</t>
        </is>
      </c>
      <c r="H32" s="19" t="inlineStr">
        <is>
          <t>ICA
Publicado</t>
        </is>
      </c>
      <c r="I32" s="19" t="inlineStr">
        <is>
          <t>Nivel</t>
        </is>
      </c>
      <c r="J32" s="19" t="inlineStr">
        <is>
          <t>Crítico
≥4.50?</t>
        </is>
      </c>
    </row>
    <row r="33" ht="22" customHeight="1">
      <c r="A33" s="4" t="inlineStr">
        <is>
          <t>1</t>
        </is>
      </c>
      <c r="B33" s="6" t="inlineStr">
        <is>
          <t>Apertura de cuenta de ahorros</t>
        </is>
      </c>
      <c r="C33" s="4" t="inlineStr">
        <is>
          <t>Ahorros</t>
        </is>
      </c>
      <c r="D33" s="45" t="n">
        <v>4.85</v>
      </c>
      <c r="E33" s="45" t="n">
        <v>4.85</v>
      </c>
      <c r="F33" s="45" t="n">
        <v>4.85</v>
      </c>
      <c r="G33" s="46">
        <f>AVERAGE(D33,E33,F33)</f>
        <v/>
      </c>
      <c r="H33" s="12" t="n">
        <v>4.83</v>
      </c>
      <c r="I33" s="13" t="inlineStr">
        <is>
          <t>Crítico</t>
        </is>
      </c>
      <c r="J33" s="13" t="inlineStr">
        <is>
          <t>SÍ</t>
        </is>
      </c>
    </row>
    <row r="34" ht="22" customHeight="1">
      <c r="A34" s="8" t="inlineStr">
        <is>
          <t>2</t>
        </is>
      </c>
      <c r="B34" s="10" t="inlineStr">
        <is>
          <t>Evaluación crediticia</t>
        </is>
      </c>
      <c r="C34" s="8" t="inlineStr">
        <is>
          <t>Créditos</t>
        </is>
      </c>
      <c r="D34" s="47" t="n">
        <v>4.85</v>
      </c>
      <c r="E34" s="47" t="n">
        <v>4.85</v>
      </c>
      <c r="F34" s="47" t="n">
        <v>4.85</v>
      </c>
      <c r="G34" s="46">
        <f>AVERAGE(D34,E34,F34)</f>
        <v/>
      </c>
      <c r="H34" s="12" t="n">
        <v>4.82</v>
      </c>
      <c r="I34" s="13" t="inlineStr">
        <is>
          <t>Crítico</t>
        </is>
      </c>
      <c r="J34" s="13" t="inlineStr">
        <is>
          <t>SÍ</t>
        </is>
      </c>
    </row>
    <row r="35" ht="22" customHeight="1">
      <c r="A35" s="4" t="inlineStr">
        <is>
          <t>3</t>
        </is>
      </c>
      <c r="B35" s="6" t="inlineStr">
        <is>
          <t>Desembolso crediticio</t>
        </is>
      </c>
      <c r="C35" s="4" t="inlineStr">
        <is>
          <t>Créditos</t>
        </is>
      </c>
      <c r="D35" s="45" t="n">
        <v>4.59</v>
      </c>
      <c r="E35" s="45" t="n">
        <v>4.59</v>
      </c>
      <c r="F35" s="45" t="n">
        <v>4.59</v>
      </c>
      <c r="G35" s="46">
        <f>AVERAGE(D35,E35,F35)</f>
        <v/>
      </c>
      <c r="H35" s="12" t="n">
        <v>4.55</v>
      </c>
      <c r="I35" s="13" t="inlineStr">
        <is>
          <t>Crítico</t>
        </is>
      </c>
      <c r="J35" s="13" t="inlineStr">
        <is>
          <t>SÍ</t>
        </is>
      </c>
    </row>
    <row r="36" ht="22" customHeight="1">
      <c r="A36" s="8" t="inlineStr">
        <is>
          <t>4</t>
        </is>
      </c>
      <c r="B36" s="10" t="inlineStr">
        <is>
          <t>Confirmación de apertura (ahorros)</t>
        </is>
      </c>
      <c r="C36" s="8" t="inlineStr">
        <is>
          <t>Ahorros</t>
        </is>
      </c>
      <c r="D36" s="47" t="n">
        <v>4.33</v>
      </c>
      <c r="E36" s="47" t="n">
        <v>4.33</v>
      </c>
      <c r="F36" s="47" t="n">
        <v>4</v>
      </c>
      <c r="G36" s="46">
        <f>AVERAGE(D36,E36,F36)</f>
        <v/>
      </c>
      <c r="H36" s="12" t="n">
        <v>4.16</v>
      </c>
      <c r="I36" s="14" t="inlineStr">
        <is>
          <t>Alto</t>
        </is>
      </c>
      <c r="J36" s="16" t="inlineStr">
        <is>
          <t>No</t>
        </is>
      </c>
    </row>
    <row r="37" ht="22" customHeight="1">
      <c r="A37" s="4" t="inlineStr">
        <is>
          <t>5</t>
        </is>
      </c>
      <c r="B37" s="6" t="inlineStr">
        <is>
          <t>Gestión de seguros</t>
        </is>
      </c>
      <c r="C37" s="4" t="inlineStr">
        <is>
          <t>Seguros</t>
        </is>
      </c>
      <c r="D37" s="45" t="n">
        <v>3.59</v>
      </c>
      <c r="E37" s="45" t="n">
        <v>3.74</v>
      </c>
      <c r="F37" s="45" t="n">
        <v>3.59</v>
      </c>
      <c r="G37" s="46">
        <f>AVERAGE(D37,E37,F37)</f>
        <v/>
      </c>
      <c r="H37" s="12" t="n">
        <v>3.5</v>
      </c>
      <c r="I37" s="16" t="inlineStr">
        <is>
          <t>Moderado</t>
        </is>
      </c>
      <c r="J37" s="16" t="inlineStr">
        <is>
          <t>No</t>
        </is>
      </c>
    </row>
    <row r="38" ht="22" customHeight="1">
      <c r="A38" s="8" t="inlineStr">
        <is>
          <t>6</t>
        </is>
      </c>
      <c r="B38" s="10" t="inlineStr">
        <is>
          <t>Atención al cliente en ventanilla</t>
        </is>
      </c>
      <c r="C38" s="8" t="inlineStr">
        <is>
          <t>Ahorros</t>
        </is>
      </c>
      <c r="D38" s="47" t="n">
        <v>2.85</v>
      </c>
      <c r="E38" s="47" t="n">
        <v>2.85</v>
      </c>
      <c r="F38" s="47" t="n">
        <v>2.59</v>
      </c>
      <c r="G38" s="46">
        <f>AVERAGE(D38,E38,F38)</f>
        <v/>
      </c>
      <c r="H38" s="12" t="n">
        <v>2.8</v>
      </c>
      <c r="I38" s="4" t="inlineStr">
        <is>
          <t>Bajo</t>
        </is>
      </c>
      <c r="J38" s="16" t="inlineStr">
        <is>
          <t>No</t>
        </is>
      </c>
    </row>
  </sheetData>
  <mergeCells count="6">
    <mergeCell ref="A1:J1"/>
    <mergeCell ref="A31:J31"/>
    <mergeCell ref="A22:J22"/>
    <mergeCell ref="A4:J4"/>
    <mergeCell ref="A2:J2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6" customHeight="1">
      <c r="A1" s="33" t="inlineStr">
        <is>
          <t>INSTRUMENTO 3 – IMSA: SELECCIÓN DE BRECHA PRIORITARIA – FIGURA 6 DEL ARTÍCULO</t>
        </is>
      </c>
    </row>
    <row r="2" ht="24" customHeight="1">
      <c r="A2" s="34" t="inlineStr">
        <is>
          <t>Fórmula IMSA = (Crit.ICA×0.30)+(Urgencia×0.20)+(Recursos×0.15)+(Regulatorio×0.20)+(Madurez×0.15)  | Cada experto puntúa 1–5 cada criterio para cada brecha.</t>
        </is>
      </c>
    </row>
    <row r="4" ht="26" customHeight="1">
      <c r="A4" s="2" t="inlineStr">
        <is>
          <t>▶  EXPERTO 1 – Puntajes IMSA por brecha y criterio</t>
        </is>
      </c>
    </row>
    <row r="5" ht="40" customHeight="1">
      <c r="A5" s="19" t="inlineStr">
        <is>
          <t>N°</t>
        </is>
      </c>
      <c r="B5" s="19" t="inlineStr">
        <is>
          <t>Brecha / Dominio</t>
        </is>
      </c>
      <c r="C5" s="48" t="inlineStr">
        <is>
          <t>Criticidad ICA
(×0.30)</t>
        </is>
      </c>
      <c r="D5" s="48" t="inlineStr">
        <is>
          <t>Urgencia sin IaC
(×0.20)</t>
        </is>
      </c>
      <c r="E5" s="48" t="inlineStr">
        <is>
          <t>Recursos IaC
(×0.15)</t>
        </is>
      </c>
      <c r="F5" s="48" t="inlineStr">
        <is>
          <t>Exp. regulatoria
(×0.20)</t>
        </is>
      </c>
      <c r="G5" s="48" t="inlineStr">
        <is>
          <t>Madurez IaC
(×0.15)</t>
        </is>
      </c>
      <c r="H5" s="19" t="inlineStr">
        <is>
          <t>Puntaje IMSA
(calculado)</t>
        </is>
      </c>
    </row>
    <row r="6" ht="20" customHeight="1">
      <c r="A6" s="14" t="inlineStr"/>
      <c r="B6" s="49" t="inlineStr">
        <is>
          <t>→ Peso del criterio</t>
        </is>
      </c>
      <c r="C6" s="7" t="inlineStr">
        <is>
          <t>0.30</t>
        </is>
      </c>
      <c r="D6" s="7" t="inlineStr">
        <is>
          <t>0.20</t>
        </is>
      </c>
      <c r="E6" s="7" t="inlineStr">
        <is>
          <t>0.15</t>
        </is>
      </c>
      <c r="F6" s="7" t="inlineStr">
        <is>
          <t>0.20</t>
        </is>
      </c>
      <c r="G6" s="7" t="inlineStr">
        <is>
          <t>0.15</t>
        </is>
      </c>
      <c r="H6" s="7" t="inlineStr">
        <is>
          <t>1.00</t>
        </is>
      </c>
    </row>
    <row r="7" ht="26" customHeight="1">
      <c r="A7" s="4" t="inlineStr">
        <is>
          <t>1</t>
        </is>
      </c>
      <c r="B7" s="5" t="inlineStr">
        <is>
          <t>Negocio – Procesos ICA≥4.50 sin SLA</t>
        </is>
      </c>
      <c r="C7" s="17" t="n">
        <v>5</v>
      </c>
      <c r="D7" s="17" t="n">
        <v>5</v>
      </c>
      <c r="E7" s="17" t="n">
        <v>3</v>
      </c>
      <c r="F7" s="17" t="n">
        <v>4</v>
      </c>
      <c r="G7" s="17" t="n">
        <v>4</v>
      </c>
      <c r="H7" s="50" t="n">
        <v>4.35</v>
      </c>
    </row>
    <row r="8" ht="26" customHeight="1">
      <c r="A8" s="8" t="inlineStr">
        <is>
          <t>2</t>
        </is>
      </c>
      <c r="B8" s="10" t="inlineStr">
        <is>
          <t>Tecnología – IaC 30%, aprovisionamiento manual</t>
        </is>
      </c>
      <c r="C8" s="8" t="n">
        <v>5</v>
      </c>
      <c r="D8" s="8" t="n">
        <v>4</v>
      </c>
      <c r="E8" s="8" t="n">
        <v>4</v>
      </c>
      <c r="F8" s="8" t="n">
        <v>3</v>
      </c>
      <c r="G8" s="8" t="n">
        <v>4</v>
      </c>
      <c r="H8" s="47" t="n">
        <v>4.1</v>
      </c>
    </row>
    <row r="9" ht="26" customHeight="1">
      <c r="A9" s="4" t="inlineStr">
        <is>
          <t>3</t>
        </is>
      </c>
      <c r="B9" s="6" t="inlineStr">
        <is>
          <t>Datos – Sin trazabilidad automatizada</t>
        </is>
      </c>
      <c r="C9" s="4" t="n">
        <v>4</v>
      </c>
      <c r="D9" s="4" t="n">
        <v>3</v>
      </c>
      <c r="E9" s="4" t="n">
        <v>4</v>
      </c>
      <c r="F9" s="4" t="n">
        <v>5</v>
      </c>
      <c r="G9" s="4" t="n">
        <v>4</v>
      </c>
      <c r="H9" s="45" t="n">
        <v>4</v>
      </c>
    </row>
    <row r="10" ht="26" customHeight="1">
      <c r="A10" s="8" t="inlineStr">
        <is>
          <t>4</t>
        </is>
      </c>
      <c r="B10" s="10" t="inlineStr">
        <is>
          <t>Aplicaciones – Dualidad API Gateway</t>
        </is>
      </c>
      <c r="C10" s="8" t="n">
        <v>5</v>
      </c>
      <c r="D10" s="8" t="n">
        <v>3</v>
      </c>
      <c r="E10" s="8" t="n">
        <v>2</v>
      </c>
      <c r="F10" s="8" t="n">
        <v>3</v>
      </c>
      <c r="G10" s="8" t="n">
        <v>3</v>
      </c>
      <c r="H10" s="47" t="n">
        <v>3.45</v>
      </c>
    </row>
    <row r="11" ht="26" customHeight="1">
      <c r="A11" s="4" t="inlineStr">
        <is>
          <t>5</t>
        </is>
      </c>
      <c r="B11" s="6" t="inlineStr">
        <is>
          <t>Gobierno – Sin ARB ni métricas OWASP</t>
        </is>
      </c>
      <c r="C11" s="4" t="n">
        <v>3</v>
      </c>
      <c r="D11" s="4" t="n">
        <v>2</v>
      </c>
      <c r="E11" s="4" t="n">
        <v>3</v>
      </c>
      <c r="F11" s="4" t="n">
        <v>3</v>
      </c>
      <c r="G11" s="4" t="n">
        <v>3</v>
      </c>
      <c r="H11" s="45" t="n">
        <v>2.8</v>
      </c>
    </row>
    <row r="13" ht="26" customHeight="1">
      <c r="A13" s="11" t="inlineStr">
        <is>
          <t>▶  EXPERTO 2 – Puntajes IMSA por brecha y criterio</t>
        </is>
      </c>
    </row>
    <row r="14" ht="40" customHeight="1">
      <c r="A14" s="19" t="inlineStr">
        <is>
          <t>N°</t>
        </is>
      </c>
      <c r="B14" s="19" t="inlineStr">
        <is>
          <t>Brecha / Dominio</t>
        </is>
      </c>
      <c r="C14" s="48" t="inlineStr">
        <is>
          <t>Criticidad ICA
(×0.30)</t>
        </is>
      </c>
      <c r="D14" s="48" t="inlineStr">
        <is>
          <t>Urgencia sin IaC
(×0.20)</t>
        </is>
      </c>
      <c r="E14" s="48" t="inlineStr">
        <is>
          <t>Recursos IaC
(×0.15)</t>
        </is>
      </c>
      <c r="F14" s="48" t="inlineStr">
        <is>
          <t>Exp. regulatoria
(×0.20)</t>
        </is>
      </c>
      <c r="G14" s="48" t="inlineStr">
        <is>
          <t>Madurez IaC
(×0.15)</t>
        </is>
      </c>
      <c r="H14" s="19" t="inlineStr">
        <is>
          <t>Puntaje IMSA
(calculado)</t>
        </is>
      </c>
    </row>
    <row r="15" ht="20" customHeight="1">
      <c r="A15" s="14" t="inlineStr"/>
      <c r="B15" s="49" t="inlineStr">
        <is>
          <t>→ Peso del criterio</t>
        </is>
      </c>
      <c r="C15" s="7" t="inlineStr">
        <is>
          <t>0.30</t>
        </is>
      </c>
      <c r="D15" s="7" t="inlineStr">
        <is>
          <t>0.20</t>
        </is>
      </c>
      <c r="E15" s="7" t="inlineStr">
        <is>
          <t>0.15</t>
        </is>
      </c>
      <c r="F15" s="7" t="inlineStr">
        <is>
          <t>0.20</t>
        </is>
      </c>
      <c r="G15" s="7" t="inlineStr">
        <is>
          <t>0.15</t>
        </is>
      </c>
      <c r="H15" s="7" t="inlineStr">
        <is>
          <t>1.00</t>
        </is>
      </c>
    </row>
    <row r="16" ht="26" customHeight="1">
      <c r="A16" s="16" t="inlineStr">
        <is>
          <t>1</t>
        </is>
      </c>
      <c r="B16" s="51" t="inlineStr">
        <is>
          <t>Negocio – Procesos ICA≥4.50 sin SLA</t>
        </is>
      </c>
      <c r="C16" s="32" t="n">
        <v>5</v>
      </c>
      <c r="D16" s="32" t="n">
        <v>5</v>
      </c>
      <c r="E16" s="32" t="n">
        <v>3</v>
      </c>
      <c r="F16" s="32" t="n">
        <v>4</v>
      </c>
      <c r="G16" s="32" t="n">
        <v>4</v>
      </c>
      <c r="H16" s="50" t="n">
        <v>4.35</v>
      </c>
    </row>
    <row r="17" ht="26" customHeight="1">
      <c r="A17" s="8" t="inlineStr">
        <is>
          <t>2</t>
        </is>
      </c>
      <c r="B17" s="10" t="inlineStr">
        <is>
          <t>Tecnología – IaC 30%, aprovisionamiento manual</t>
        </is>
      </c>
      <c r="C17" s="8" t="n">
        <v>5</v>
      </c>
      <c r="D17" s="8" t="n">
        <v>4</v>
      </c>
      <c r="E17" s="8" t="n">
        <v>4</v>
      </c>
      <c r="F17" s="8" t="n">
        <v>3</v>
      </c>
      <c r="G17" s="8" t="n">
        <v>4</v>
      </c>
      <c r="H17" s="47" t="n">
        <v>4.1</v>
      </c>
    </row>
    <row r="18" ht="26" customHeight="1">
      <c r="A18" s="16" t="inlineStr">
        <is>
          <t>3</t>
        </is>
      </c>
      <c r="B18" s="37" t="inlineStr">
        <is>
          <t>Datos – Sin trazabilidad automatizada</t>
        </is>
      </c>
      <c r="C18" s="16" t="n">
        <v>4</v>
      </c>
      <c r="D18" s="16" t="n">
        <v>3</v>
      </c>
      <c r="E18" s="16" t="n">
        <v>4</v>
      </c>
      <c r="F18" s="16" t="n">
        <v>5</v>
      </c>
      <c r="G18" s="16" t="n">
        <v>4</v>
      </c>
      <c r="H18" s="52" t="n">
        <v>4</v>
      </c>
    </row>
    <row r="19" ht="26" customHeight="1">
      <c r="A19" s="8" t="inlineStr">
        <is>
          <t>4</t>
        </is>
      </c>
      <c r="B19" s="10" t="inlineStr">
        <is>
          <t>Aplicaciones – Dualidad API Gateway</t>
        </is>
      </c>
      <c r="C19" s="8" t="n">
        <v>5</v>
      </c>
      <c r="D19" s="8" t="n">
        <v>3</v>
      </c>
      <c r="E19" s="8" t="n">
        <v>2</v>
      </c>
      <c r="F19" s="8" t="n">
        <v>3</v>
      </c>
      <c r="G19" s="8" t="n">
        <v>3</v>
      </c>
      <c r="H19" s="47" t="n">
        <v>3.45</v>
      </c>
    </row>
    <row r="20" ht="26" customHeight="1">
      <c r="A20" s="16" t="inlineStr">
        <is>
          <t>5</t>
        </is>
      </c>
      <c r="B20" s="37" t="inlineStr">
        <is>
          <t>Gobierno – Sin ARB ni métricas OWASP</t>
        </is>
      </c>
      <c r="C20" s="16" t="n">
        <v>3</v>
      </c>
      <c r="D20" s="16" t="n">
        <v>2</v>
      </c>
      <c r="E20" s="16" t="n">
        <v>3</v>
      </c>
      <c r="F20" s="16" t="n">
        <v>3</v>
      </c>
      <c r="G20" s="16" t="n">
        <v>3</v>
      </c>
      <c r="H20" s="52" t="n">
        <v>2.8</v>
      </c>
    </row>
    <row r="22" ht="26" customHeight="1">
      <c r="A22" s="18" t="inlineStr">
        <is>
          <t>▶  EXPERTO 3 – Puntajes IMSA por brecha y criterio</t>
        </is>
      </c>
    </row>
    <row r="23" ht="40" customHeight="1">
      <c r="A23" s="19" t="inlineStr">
        <is>
          <t>N°</t>
        </is>
      </c>
      <c r="B23" s="19" t="inlineStr">
        <is>
          <t>Brecha / Dominio</t>
        </is>
      </c>
      <c r="C23" s="48" t="inlineStr">
        <is>
          <t>Criticidad ICA
(×0.30)</t>
        </is>
      </c>
      <c r="D23" s="48" t="inlineStr">
        <is>
          <t>Urgencia sin IaC
(×0.20)</t>
        </is>
      </c>
      <c r="E23" s="48" t="inlineStr">
        <is>
          <t>Recursos IaC
(×0.15)</t>
        </is>
      </c>
      <c r="F23" s="48" t="inlineStr">
        <is>
          <t>Exp. regulatoria
(×0.20)</t>
        </is>
      </c>
      <c r="G23" s="48" t="inlineStr">
        <is>
          <t>Madurez IaC
(×0.15)</t>
        </is>
      </c>
      <c r="H23" s="19" t="inlineStr">
        <is>
          <t>Puntaje IMSA
(calculado)</t>
        </is>
      </c>
    </row>
    <row r="24" ht="20" customHeight="1">
      <c r="A24" s="14" t="inlineStr"/>
      <c r="B24" s="49" t="inlineStr">
        <is>
          <t>→ Peso del criterio</t>
        </is>
      </c>
      <c r="C24" s="7" t="inlineStr">
        <is>
          <t>0.30</t>
        </is>
      </c>
      <c r="D24" s="7" t="inlineStr">
        <is>
          <t>0.20</t>
        </is>
      </c>
      <c r="E24" s="7" t="inlineStr">
        <is>
          <t>0.15</t>
        </is>
      </c>
      <c r="F24" s="7" t="inlineStr">
        <is>
          <t>0.20</t>
        </is>
      </c>
      <c r="G24" s="7" t="inlineStr">
        <is>
          <t>0.15</t>
        </is>
      </c>
      <c r="H24" s="7" t="inlineStr">
        <is>
          <t>1.00</t>
        </is>
      </c>
    </row>
    <row r="25" ht="26" customHeight="1">
      <c r="A25" s="38" t="inlineStr">
        <is>
          <t>1</t>
        </is>
      </c>
      <c r="B25" s="53" t="inlineStr">
        <is>
          <t>Negocio – Procesos ICA≥4.50 sin SLA</t>
        </is>
      </c>
      <c r="C25" s="44" t="n">
        <v>5</v>
      </c>
      <c r="D25" s="44" t="n">
        <v>5</v>
      </c>
      <c r="E25" s="44" t="n">
        <v>3</v>
      </c>
      <c r="F25" s="44" t="n">
        <v>4</v>
      </c>
      <c r="G25" s="44" t="n">
        <v>4</v>
      </c>
      <c r="H25" s="50" t="n">
        <v>4.35</v>
      </c>
    </row>
    <row r="26" ht="26" customHeight="1">
      <c r="A26" s="8" t="inlineStr">
        <is>
          <t>2</t>
        </is>
      </c>
      <c r="B26" s="10" t="inlineStr">
        <is>
          <t>Tecnología – IaC 30%, aprovisionamiento manual</t>
        </is>
      </c>
      <c r="C26" s="8" t="n">
        <v>5</v>
      </c>
      <c r="D26" s="8" t="n">
        <v>4</v>
      </c>
      <c r="E26" s="8" t="n">
        <v>4</v>
      </c>
      <c r="F26" s="8" t="n">
        <v>3</v>
      </c>
      <c r="G26" s="8" t="n">
        <v>4</v>
      </c>
      <c r="H26" s="47" t="n">
        <v>4.1</v>
      </c>
    </row>
    <row r="27" ht="26" customHeight="1">
      <c r="A27" s="38" t="inlineStr">
        <is>
          <t>3</t>
        </is>
      </c>
      <c r="B27" s="39" t="inlineStr">
        <is>
          <t>Datos – Sin trazabilidad automatizada</t>
        </is>
      </c>
      <c r="C27" s="38" t="n">
        <v>4</v>
      </c>
      <c r="D27" s="38" t="n">
        <v>3</v>
      </c>
      <c r="E27" s="38" t="n">
        <v>4</v>
      </c>
      <c r="F27" s="38" t="n">
        <v>5</v>
      </c>
      <c r="G27" s="38" t="n">
        <v>4</v>
      </c>
      <c r="H27" s="54" t="n">
        <v>4</v>
      </c>
    </row>
    <row r="28" ht="26" customHeight="1">
      <c r="A28" s="8" t="inlineStr">
        <is>
          <t>4</t>
        </is>
      </c>
      <c r="B28" s="10" t="inlineStr">
        <is>
          <t>Aplicaciones – Dualidad API Gateway</t>
        </is>
      </c>
      <c r="C28" s="8" t="n">
        <v>5</v>
      </c>
      <c r="D28" s="8" t="n">
        <v>3</v>
      </c>
      <c r="E28" s="8" t="n">
        <v>2</v>
      </c>
      <c r="F28" s="8" t="n">
        <v>3</v>
      </c>
      <c r="G28" s="8" t="n">
        <v>3</v>
      </c>
      <c r="H28" s="47" t="n">
        <v>3.45</v>
      </c>
    </row>
    <row r="29" ht="26" customHeight="1">
      <c r="A29" s="38" t="inlineStr">
        <is>
          <t>5</t>
        </is>
      </c>
      <c r="B29" s="39" t="inlineStr">
        <is>
          <t>Gobierno – Sin ARB ni métricas OWASP</t>
        </is>
      </c>
      <c r="C29" s="38" t="n">
        <v>3</v>
      </c>
      <c r="D29" s="38" t="n">
        <v>2</v>
      </c>
      <c r="E29" s="38" t="n">
        <v>3</v>
      </c>
      <c r="F29" s="38" t="n">
        <v>3</v>
      </c>
      <c r="G29" s="38" t="n">
        <v>3</v>
      </c>
      <c r="H29" s="54" t="n">
        <v>2.8</v>
      </c>
    </row>
    <row r="31" ht="26" customHeight="1">
      <c r="A31" s="40" t="inlineStr">
        <is>
          <t>▶  RESULTADO CONSOLIDADO (promedio 3 expertos) = FIGURA 6 DEL ARTÍCULO</t>
        </is>
      </c>
    </row>
    <row r="32" ht="36" customHeight="1">
      <c r="A32" s="19" t="inlineStr">
        <is>
          <t>N°</t>
        </is>
      </c>
      <c r="B32" s="19" t="inlineStr">
        <is>
          <t>Brecha / Dominio</t>
        </is>
      </c>
      <c r="C32" s="19" t="inlineStr">
        <is>
          <t>IMSA
Exp1</t>
        </is>
      </c>
      <c r="D32" s="19" t="inlineStr">
        <is>
          <t>IMSA
Exp2</t>
        </is>
      </c>
      <c r="E32" s="19" t="inlineStr">
        <is>
          <t>IMSA
Exp3</t>
        </is>
      </c>
      <c r="F32" s="19" t="inlineStr">
        <is>
          <t>Promedio
(Fórmula)</t>
        </is>
      </c>
      <c r="G32" s="19" t="inlineStr">
        <is>
          <t>IMSA
Publicado</t>
        </is>
      </c>
      <c r="H32" s="19" t="inlineStr">
        <is>
          <t>¿Seleccionada?</t>
        </is>
      </c>
    </row>
    <row r="33" ht="26" customHeight="1">
      <c r="A33" s="4" t="inlineStr">
        <is>
          <t>1</t>
        </is>
      </c>
      <c r="B33" s="5" t="inlineStr">
        <is>
          <t>Negocio – Procesos ICA≥4.50 sin SLA</t>
        </is>
      </c>
      <c r="C33" s="45" t="n">
        <v>4.35</v>
      </c>
      <c r="D33" s="45" t="n">
        <v>4.35</v>
      </c>
      <c r="E33" s="45" t="n">
        <v>4.35</v>
      </c>
      <c r="F33" s="46">
        <f>AVERAGE(C33,D33,E33)</f>
        <v/>
      </c>
      <c r="G33" s="12" t="n">
        <v>4.35</v>
      </c>
      <c r="H33" s="21" t="inlineStr">
        <is>
          <t>★ SELECCIONADA</t>
        </is>
      </c>
    </row>
    <row r="34" ht="26" customHeight="1">
      <c r="A34" s="8" t="inlineStr">
        <is>
          <t>2</t>
        </is>
      </c>
      <c r="B34" s="10" t="inlineStr">
        <is>
          <t>Tecnología – IaC 30%, aprovisionamiento manual</t>
        </is>
      </c>
      <c r="C34" s="47" t="n">
        <v>4.1</v>
      </c>
      <c r="D34" s="47" t="n">
        <v>4.1</v>
      </c>
      <c r="E34" s="47" t="n">
        <v>4.1</v>
      </c>
      <c r="F34" s="46">
        <f>AVERAGE(C34,D34,E34)</f>
        <v/>
      </c>
      <c r="G34" s="12" t="n">
        <v>4.1</v>
      </c>
      <c r="H34" s="8" t="inlineStr">
        <is>
          <t>–</t>
        </is>
      </c>
    </row>
    <row r="35" ht="26" customHeight="1">
      <c r="A35" s="4" t="inlineStr">
        <is>
          <t>3</t>
        </is>
      </c>
      <c r="B35" s="6" t="inlineStr">
        <is>
          <t>Datos – Sin trazabilidad automatizada</t>
        </is>
      </c>
      <c r="C35" s="45" t="n">
        <v>4</v>
      </c>
      <c r="D35" s="45" t="n">
        <v>4</v>
      </c>
      <c r="E35" s="45" t="n">
        <v>4</v>
      </c>
      <c r="F35" s="46">
        <f>AVERAGE(C35,D35,E35)</f>
        <v/>
      </c>
      <c r="G35" s="12" t="n">
        <v>4</v>
      </c>
      <c r="H35" s="4" t="inlineStr">
        <is>
          <t>–</t>
        </is>
      </c>
    </row>
    <row r="36" ht="26" customHeight="1">
      <c r="A36" s="8" t="inlineStr">
        <is>
          <t>4</t>
        </is>
      </c>
      <c r="B36" s="10" t="inlineStr">
        <is>
          <t>Aplicaciones – Dualidad API Gateway</t>
        </is>
      </c>
      <c r="C36" s="47" t="n">
        <v>3.45</v>
      </c>
      <c r="D36" s="47" t="n">
        <v>3.45</v>
      </c>
      <c r="E36" s="47" t="n">
        <v>3.45</v>
      </c>
      <c r="F36" s="46">
        <f>AVERAGE(C36,D36,E36)</f>
        <v/>
      </c>
      <c r="G36" s="12" t="n">
        <v>3.45</v>
      </c>
      <c r="H36" s="8" t="inlineStr">
        <is>
          <t>–</t>
        </is>
      </c>
    </row>
    <row r="37" ht="26" customHeight="1">
      <c r="A37" s="4" t="inlineStr">
        <is>
          <t>5</t>
        </is>
      </c>
      <c r="B37" s="6" t="inlineStr">
        <is>
          <t>Gobierno – Sin ARB ni métricas OWASP</t>
        </is>
      </c>
      <c r="C37" s="45" t="n">
        <v>2.8</v>
      </c>
      <c r="D37" s="45" t="n">
        <v>2.8</v>
      </c>
      <c r="E37" s="45" t="n">
        <v>2.8</v>
      </c>
      <c r="F37" s="46">
        <f>AVERAGE(C37,D37,E37)</f>
        <v/>
      </c>
      <c r="G37" s="12" t="n">
        <v>2.8</v>
      </c>
      <c r="H37" s="4" t="inlineStr">
        <is>
          <t>–</t>
        </is>
      </c>
    </row>
    <row r="38" ht="24" customHeight="1">
      <c r="A38" s="42" t="inlineStr">
        <is>
          <t>Verificación cálculo brecha Negocio: P=(5×0.30)+(5×0.20)+(3×0.15)+(4×0.20)+(4×0.15)=1.50+1.00+0.45+0.80+0.60 = 4.35  ★ Brecha seleccionada</t>
        </is>
      </c>
    </row>
  </sheetData>
  <mergeCells count="7">
    <mergeCell ref="A4:H4"/>
    <mergeCell ref="A38:H38"/>
    <mergeCell ref="A2:H2"/>
    <mergeCell ref="A13:H13"/>
    <mergeCell ref="A1:H1"/>
    <mergeCell ref="A31:H31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8" customWidth="1" min="3" max="3"/>
    <col width="30" customWidth="1" min="4" max="4"/>
    <col width="28" customWidth="1" min="5" max="5"/>
    <col width="28" customWidth="1" min="6" max="6"/>
  </cols>
  <sheetData>
    <row r="1" ht="36" customHeight="1">
      <c r="A1" s="33" t="inlineStr">
        <is>
          <t>INSTRUMENTO 4 – INDICADORES DE DESEMPEÑO AS-IS / TO-BE – TABLA 5 DEL ARTÍCULO</t>
        </is>
      </c>
    </row>
    <row r="2" ht="28" customHeight="1">
      <c r="A2" s="34" t="inlineStr">
        <is>
          <t>Cada experto registra el valor AS-IS que observa/verifica y el TO-BE que considera alcanzable. El consenso de los 3 expertos reproduce la Tabla 5 del artículo.</t>
        </is>
      </c>
    </row>
    <row r="4" ht="26" customHeight="1">
      <c r="A4" s="2" t="inlineStr">
        <is>
          <t>▶  EXPERTO 1 – Registro de indicadores AS-IS / TO-BE</t>
        </is>
      </c>
    </row>
    <row r="5" ht="36" customHeight="1">
      <c r="A5" s="19" t="inlineStr">
        <is>
          <t>N°</t>
        </is>
      </c>
      <c r="B5" s="19" t="inlineStr">
        <is>
          <t>Dominio</t>
        </is>
      </c>
      <c r="C5" s="19" t="inlineStr">
        <is>
          <t>Indicador / Proceso-servicio asociado</t>
        </is>
      </c>
      <c r="D5" s="19" t="inlineStr">
        <is>
          <t>Valor AS-IS
(estado actual observado)</t>
        </is>
      </c>
      <c r="E5" s="19" t="inlineStr">
        <is>
          <t>Valor TO-BE
(esperado post-IaC)</t>
        </is>
      </c>
      <c r="F5" s="19" t="inlineStr"/>
    </row>
    <row r="6" ht="36" customHeight="1">
      <c r="A6" s="4" t="inlineStr">
        <is>
          <t>1</t>
        </is>
      </c>
      <c r="B6" s="22" t="inlineStr">
        <is>
          <t>Negocio</t>
        </is>
      </c>
      <c r="C6" s="24" t="inlineStr">
        <is>
          <t>Tiempo de ciclo del proceso de apertura de cuenta
(Apertura de cuenta (Ahorros) – ICA 4.83)</t>
        </is>
      </c>
      <c r="D6" s="24" t="inlineStr">
        <is>
          <t>Sin medición sistemática</t>
        </is>
      </c>
      <c r="E6" s="24" t="inlineStr">
        <is>
          <t>Reducción ≥ 40% post-microservicio ClaAhorros</t>
        </is>
      </c>
      <c r="F6" s="55" t="inlineStr">
        <is>
          <t>✓ Confirmado</t>
        </is>
      </c>
    </row>
    <row r="7" ht="36" customHeight="1">
      <c r="A7" s="8" t="inlineStr">
        <is>
          <t>2</t>
        </is>
      </c>
      <c r="B7" s="22" t="inlineStr">
        <is>
          <t>Negocio</t>
        </is>
      </c>
      <c r="C7" s="27" t="inlineStr">
        <is>
          <t>Tiempo de respuesta en evaluación crediticia
(Evaluación crediticia (Créditos) – ICA 4.82)</t>
        </is>
      </c>
      <c r="D7" s="27" t="inlineStr">
        <is>
          <t>Sin medición sistemática</t>
        </is>
      </c>
      <c r="E7" s="27" t="inlineStr">
        <is>
          <t>Reducción ≥ 30% post-microservicio ClaCreditos</t>
        </is>
      </c>
      <c r="F7" s="55" t="inlineStr">
        <is>
          <t>✓ Confirmado</t>
        </is>
      </c>
    </row>
    <row r="8" ht="36" customHeight="1">
      <c r="A8" s="4" t="inlineStr">
        <is>
          <t>3</t>
        </is>
      </c>
      <c r="B8" s="28" t="inlineStr">
        <is>
          <t>Tecnología</t>
        </is>
      </c>
      <c r="C8" s="24" t="inlineStr">
        <is>
          <t>Tiempo de aprovisionamiento de ambientes
(Despliegue vía IaC (CodePipeline / EKS))</t>
        </is>
      </c>
      <c r="D8" s="24" t="inlineStr">
        <is>
          <t>~3 días (manual)</t>
        </is>
      </c>
      <c r="E8" s="24" t="inlineStr">
        <is>
          <t>&lt; 30 minutos automatizado</t>
        </is>
      </c>
      <c r="F8" s="55" t="inlineStr">
        <is>
          <t>✓ Confirmado</t>
        </is>
      </c>
    </row>
    <row r="9" ht="36" customHeight="1">
      <c r="A9" s="8" t="inlineStr">
        <is>
          <t>4</t>
        </is>
      </c>
      <c r="B9" s="28" t="inlineStr">
        <is>
          <t>Tecnología</t>
        </is>
      </c>
      <c r="C9" s="27" t="inlineStr">
        <is>
          <t>Disponibilidad de servicios críticos
(Apertura, evaluación y desembolso (Multi-AZ))</t>
        </is>
      </c>
      <c r="D9" s="27" t="inlineStr">
        <is>
          <t>~80%</t>
        </is>
      </c>
      <c r="E9" s="27" t="inlineStr">
        <is>
          <t>≥ 99.9%</t>
        </is>
      </c>
      <c r="F9" s="55" t="inlineStr">
        <is>
          <t>✓ Confirmado</t>
        </is>
      </c>
    </row>
    <row r="10" ht="36" customHeight="1">
      <c r="A10" s="4" t="inlineStr">
        <is>
          <t>5</t>
        </is>
      </c>
      <c r="B10" s="28" t="inlineStr">
        <is>
          <t>Tecnología</t>
        </is>
      </c>
      <c r="C10" s="24" t="inlineStr">
        <is>
          <t>Cobertura de IaC sobre entornos definidos
(Todos los ambientes de infraestructura)</t>
        </is>
      </c>
      <c r="D10" s="24" t="inlineStr">
        <is>
          <t>~30%</t>
        </is>
      </c>
      <c r="E10" s="24" t="inlineStr">
        <is>
          <t>100%</t>
        </is>
      </c>
      <c r="F10" s="55" t="inlineStr">
        <is>
          <t>✓ Confirmado</t>
        </is>
      </c>
    </row>
    <row r="11" ht="36" customHeight="1">
      <c r="A11" s="8" t="inlineStr">
        <is>
          <t>6</t>
        </is>
      </c>
      <c r="B11" s="29" t="inlineStr">
        <is>
          <t>Aplicaciones</t>
        </is>
      </c>
      <c r="C11" s="27" t="inlineStr">
        <is>
          <t>Cobertura de microservicios sobre procesos críticos
(Flujos ICA ≥ 4.50)</t>
        </is>
      </c>
      <c r="D11" s="27" t="inlineStr">
        <is>
          <t>0% (monolito CoreBank)</t>
        </is>
      </c>
      <c r="E11" s="27" t="inlineStr">
        <is>
          <t>100% de los 4 microservicios desplegados</t>
        </is>
      </c>
      <c r="F11" s="55" t="inlineStr">
        <is>
          <t>✓ Confirmado</t>
        </is>
      </c>
    </row>
    <row r="12" ht="36" customHeight="1">
      <c r="A12" s="4" t="inlineStr">
        <is>
          <t>7</t>
        </is>
      </c>
      <c r="B12" s="29" t="inlineStr">
        <is>
          <t>Aplicaciones</t>
        </is>
      </c>
      <c r="C12" s="24" t="inlineStr">
        <is>
          <t>Grado de acoplamiento entre microservicios
(ClaAhorros / ClaCreditos)</t>
        </is>
      </c>
      <c r="D12" s="24" t="inlineStr">
        <is>
          <t>Sin estándar definido</t>
        </is>
      </c>
      <c r="E12" s="24" t="inlineStr">
        <is>
          <t>Bajo (contratos API versionados vía API Gateway)</t>
        </is>
      </c>
      <c r="F12" s="55" t="inlineStr">
        <is>
          <t>✓ Confirmado</t>
        </is>
      </c>
    </row>
    <row r="13" ht="36" customHeight="1">
      <c r="A13" s="8" t="inlineStr">
        <is>
          <t>8</t>
        </is>
      </c>
      <c r="B13" s="30" t="inlineStr">
        <is>
          <t>Gobierno</t>
        </is>
      </c>
      <c r="C13" s="27" t="inlineStr">
        <is>
          <t>% microservicios con revisión arquitectónica formal (Lead Architect)
(Gobierno de decisiones de diseño)</t>
        </is>
      </c>
      <c r="D13" s="27" t="inlineStr">
        <is>
          <t>Sin proceso formal</t>
        </is>
      </c>
      <c r="E13" s="27" t="inlineStr">
        <is>
          <t>100% pre-producción</t>
        </is>
      </c>
      <c r="F13" s="55" t="inlineStr">
        <is>
          <t>✓ Confirmado</t>
        </is>
      </c>
    </row>
    <row r="14" ht="36" customHeight="1">
      <c r="A14" s="4" t="inlineStr">
        <is>
          <t>9</t>
        </is>
      </c>
      <c r="B14" s="30" t="inlineStr">
        <is>
          <t>Gobierno</t>
        </is>
      </c>
      <c r="C14" s="24" t="inlineStr">
        <is>
          <t>Cobertura de controles OWASP implementados
(Ciberseguridad de APIs expuestas)</t>
        </is>
      </c>
      <c r="D14" s="24" t="inlineStr">
        <is>
          <t>Parcial / sin inventario</t>
        </is>
      </c>
      <c r="E14" s="24" t="inlineStr">
        <is>
          <t>≥ 80% controles OWASP Top 10</t>
        </is>
      </c>
      <c r="F14" s="55" t="inlineStr">
        <is>
          <t>✓ Confirmado</t>
        </is>
      </c>
    </row>
    <row r="16" ht="26" customHeight="1">
      <c r="A16" s="11" t="inlineStr">
        <is>
          <t>▶  EXPERTO 2 – Registro de indicadores AS-IS / TO-BE</t>
        </is>
      </c>
    </row>
    <row r="17" ht="36" customHeight="1">
      <c r="A17" s="19" t="inlineStr">
        <is>
          <t>N°</t>
        </is>
      </c>
      <c r="B17" s="19" t="inlineStr">
        <is>
          <t>Dominio</t>
        </is>
      </c>
      <c r="C17" s="19" t="inlineStr">
        <is>
          <t>Indicador / Proceso-servicio asociado</t>
        </is>
      </c>
      <c r="D17" s="19" t="inlineStr">
        <is>
          <t>Valor AS-IS
(estado actual observado)</t>
        </is>
      </c>
      <c r="E17" s="19" t="inlineStr">
        <is>
          <t>Valor TO-BE
(esperado post-IaC)</t>
        </is>
      </c>
      <c r="F17" s="19" t="inlineStr"/>
    </row>
    <row r="18" ht="36" customHeight="1">
      <c r="A18" s="16" t="inlineStr">
        <is>
          <t>1</t>
        </is>
      </c>
      <c r="B18" s="22" t="inlineStr">
        <is>
          <t>Negocio</t>
        </is>
      </c>
      <c r="C18" s="56" t="inlineStr">
        <is>
          <t>Tiempo de ciclo del proceso de apertura de cuenta
(Apertura de cuenta (Ahorros) – ICA 4.83)</t>
        </is>
      </c>
      <c r="D18" s="56" t="inlineStr">
        <is>
          <t>Sin medición sistemática</t>
        </is>
      </c>
      <c r="E18" s="56" t="inlineStr">
        <is>
          <t>Reducción ≥ 40% post-microservicio ClaAhorros</t>
        </is>
      </c>
      <c r="F18" s="55" t="inlineStr">
        <is>
          <t>✓ Confirmado</t>
        </is>
      </c>
    </row>
    <row r="19" ht="36" customHeight="1">
      <c r="A19" s="8" t="inlineStr">
        <is>
          <t>2</t>
        </is>
      </c>
      <c r="B19" s="22" t="inlineStr">
        <is>
          <t>Negocio</t>
        </is>
      </c>
      <c r="C19" s="27" t="inlineStr">
        <is>
          <t>Tiempo de respuesta en evaluación crediticia
(Evaluación crediticia (Créditos) – ICA 4.82)</t>
        </is>
      </c>
      <c r="D19" s="27" t="inlineStr">
        <is>
          <t>Sin medición sistemática</t>
        </is>
      </c>
      <c r="E19" s="27" t="inlineStr">
        <is>
          <t>Reducción ≥ 30% post-microservicio ClaCreditos</t>
        </is>
      </c>
      <c r="F19" s="55" t="inlineStr">
        <is>
          <t>✓ Confirmado</t>
        </is>
      </c>
    </row>
    <row r="20" ht="36" customHeight="1">
      <c r="A20" s="16" t="inlineStr">
        <is>
          <t>3</t>
        </is>
      </c>
      <c r="B20" s="28" t="inlineStr">
        <is>
          <t>Tecnología</t>
        </is>
      </c>
      <c r="C20" s="56" t="inlineStr">
        <is>
          <t>Tiempo de aprovisionamiento de ambientes
(Despliegue vía IaC (CodePipeline / EKS))</t>
        </is>
      </c>
      <c r="D20" s="56" t="inlineStr">
        <is>
          <t>~3 días (manual)</t>
        </is>
      </c>
      <c r="E20" s="56" t="inlineStr">
        <is>
          <t>&lt; 30 minutos automatizado</t>
        </is>
      </c>
      <c r="F20" s="55" t="inlineStr">
        <is>
          <t>✓ Confirmado</t>
        </is>
      </c>
    </row>
    <row r="21" ht="36" customHeight="1">
      <c r="A21" s="8" t="inlineStr">
        <is>
          <t>4</t>
        </is>
      </c>
      <c r="B21" s="28" t="inlineStr">
        <is>
          <t>Tecnología</t>
        </is>
      </c>
      <c r="C21" s="27" t="inlineStr">
        <is>
          <t>Disponibilidad de servicios críticos
(Apertura, evaluación y desembolso (Multi-AZ))</t>
        </is>
      </c>
      <c r="D21" s="27" t="inlineStr">
        <is>
          <t>~80%</t>
        </is>
      </c>
      <c r="E21" s="27" t="inlineStr">
        <is>
          <t>≥ 99.9%</t>
        </is>
      </c>
      <c r="F21" s="55" t="inlineStr">
        <is>
          <t>✓ Confirmado</t>
        </is>
      </c>
    </row>
    <row r="22" ht="36" customHeight="1">
      <c r="A22" s="16" t="inlineStr">
        <is>
          <t>5</t>
        </is>
      </c>
      <c r="B22" s="28" t="inlineStr">
        <is>
          <t>Tecnología</t>
        </is>
      </c>
      <c r="C22" s="56" t="inlineStr">
        <is>
          <t>Cobertura de IaC sobre entornos definidos
(Todos los ambientes de infraestructura)</t>
        </is>
      </c>
      <c r="D22" s="56" t="inlineStr">
        <is>
          <t>~30%</t>
        </is>
      </c>
      <c r="E22" s="56" t="inlineStr">
        <is>
          <t>100%</t>
        </is>
      </c>
      <c r="F22" s="55" t="inlineStr">
        <is>
          <t>✓ Confirmado</t>
        </is>
      </c>
    </row>
    <row r="23" ht="36" customHeight="1">
      <c r="A23" s="8" t="inlineStr">
        <is>
          <t>6</t>
        </is>
      </c>
      <c r="B23" s="29" t="inlineStr">
        <is>
          <t>Aplicaciones</t>
        </is>
      </c>
      <c r="C23" s="27" t="inlineStr">
        <is>
          <t>Cobertura de microservicios sobre procesos críticos
(Flujos ICA ≥ 4.50)</t>
        </is>
      </c>
      <c r="D23" s="27" t="inlineStr">
        <is>
          <t>0% (monolito CoreBank)</t>
        </is>
      </c>
      <c r="E23" s="27" t="inlineStr">
        <is>
          <t>100% de los 4 microservicios desplegados</t>
        </is>
      </c>
      <c r="F23" s="55" t="inlineStr">
        <is>
          <t>✓ Confirmado</t>
        </is>
      </c>
    </row>
    <row r="24" ht="36" customHeight="1">
      <c r="A24" s="16" t="inlineStr">
        <is>
          <t>7</t>
        </is>
      </c>
      <c r="B24" s="29" t="inlineStr">
        <is>
          <t>Aplicaciones</t>
        </is>
      </c>
      <c r="C24" s="56" t="inlineStr">
        <is>
          <t>Grado de acoplamiento entre microservicios
(ClaAhorros / ClaCreditos)</t>
        </is>
      </c>
      <c r="D24" s="56" t="inlineStr">
        <is>
          <t>Sin estándar definido</t>
        </is>
      </c>
      <c r="E24" s="56" t="inlineStr">
        <is>
          <t>Bajo (contratos API versionados vía API Gateway)</t>
        </is>
      </c>
      <c r="F24" s="55" t="inlineStr">
        <is>
          <t>✓ Confirmado</t>
        </is>
      </c>
    </row>
    <row r="25" ht="36" customHeight="1">
      <c r="A25" s="8" t="inlineStr">
        <is>
          <t>8</t>
        </is>
      </c>
      <c r="B25" s="30" t="inlineStr">
        <is>
          <t>Gobierno</t>
        </is>
      </c>
      <c r="C25" s="27" t="inlineStr">
        <is>
          <t>% microservicios con revisión arquitectónica formal (Lead Architect)
(Gobierno de decisiones de diseño)</t>
        </is>
      </c>
      <c r="D25" s="27" t="inlineStr">
        <is>
          <t>Sin proceso formal</t>
        </is>
      </c>
      <c r="E25" s="27" t="inlineStr">
        <is>
          <t>100% pre-producción</t>
        </is>
      </c>
      <c r="F25" s="55" t="inlineStr">
        <is>
          <t>✓ Confirmado</t>
        </is>
      </c>
    </row>
    <row r="26" ht="36" customHeight="1">
      <c r="A26" s="16" t="inlineStr">
        <is>
          <t>9</t>
        </is>
      </c>
      <c r="B26" s="30" t="inlineStr">
        <is>
          <t>Gobierno</t>
        </is>
      </c>
      <c r="C26" s="56" t="inlineStr">
        <is>
          <t>Cobertura de controles OWASP implementados
(Ciberseguridad de APIs expuestas)</t>
        </is>
      </c>
      <c r="D26" s="56" t="inlineStr">
        <is>
          <t>Parcial / sin inventario</t>
        </is>
      </c>
      <c r="E26" s="56" t="inlineStr">
        <is>
          <t>≥ 80% controles OWASP Top 10</t>
        </is>
      </c>
      <c r="F26" s="55" t="inlineStr">
        <is>
          <t>✓ Confirmado</t>
        </is>
      </c>
    </row>
    <row r="28" ht="26" customHeight="1">
      <c r="A28" s="18" t="inlineStr">
        <is>
          <t>▶  EXPERTO 3 – Registro de indicadores AS-IS / TO-BE</t>
        </is>
      </c>
    </row>
    <row r="29" ht="36" customHeight="1">
      <c r="A29" s="19" t="inlineStr">
        <is>
          <t>N°</t>
        </is>
      </c>
      <c r="B29" s="19" t="inlineStr">
        <is>
          <t>Dominio</t>
        </is>
      </c>
      <c r="C29" s="19" t="inlineStr">
        <is>
          <t>Indicador / Proceso-servicio asociado</t>
        </is>
      </c>
      <c r="D29" s="19" t="inlineStr">
        <is>
          <t>Valor AS-IS
(estado actual observado)</t>
        </is>
      </c>
      <c r="E29" s="19" t="inlineStr">
        <is>
          <t>Valor TO-BE
(esperado post-IaC)</t>
        </is>
      </c>
      <c r="F29" s="19" t="inlineStr"/>
    </row>
    <row r="30" ht="36" customHeight="1">
      <c r="A30" s="38" t="inlineStr">
        <is>
          <t>1</t>
        </is>
      </c>
      <c r="B30" s="22" t="inlineStr">
        <is>
          <t>Negocio</t>
        </is>
      </c>
      <c r="C30" s="57" t="inlineStr">
        <is>
          <t>Tiempo de ciclo del proceso de apertura de cuenta
(Apertura de cuenta (Ahorros) – ICA 4.83)</t>
        </is>
      </c>
      <c r="D30" s="57" t="inlineStr">
        <is>
          <t>Sin medición sistemática</t>
        </is>
      </c>
      <c r="E30" s="57" t="inlineStr">
        <is>
          <t>Reducción ≥ 40% post-microservicio ClaAhorros</t>
        </is>
      </c>
      <c r="F30" s="55" t="inlineStr">
        <is>
          <t>✓ Confirmado</t>
        </is>
      </c>
    </row>
    <row r="31" ht="36" customHeight="1">
      <c r="A31" s="8" t="inlineStr">
        <is>
          <t>2</t>
        </is>
      </c>
      <c r="B31" s="22" t="inlineStr">
        <is>
          <t>Negocio</t>
        </is>
      </c>
      <c r="C31" s="27" t="inlineStr">
        <is>
          <t>Tiempo de respuesta en evaluación crediticia
(Evaluación crediticia (Créditos) – ICA 4.82)</t>
        </is>
      </c>
      <c r="D31" s="27" t="inlineStr">
        <is>
          <t>Sin medición sistemática</t>
        </is>
      </c>
      <c r="E31" s="27" t="inlineStr">
        <is>
          <t>Reducción ≥ 30% post-microservicio ClaCreditos</t>
        </is>
      </c>
      <c r="F31" s="55" t="inlineStr">
        <is>
          <t>✓ Confirmado</t>
        </is>
      </c>
    </row>
    <row r="32" ht="36" customHeight="1">
      <c r="A32" s="38" t="inlineStr">
        <is>
          <t>3</t>
        </is>
      </c>
      <c r="B32" s="28" t="inlineStr">
        <is>
          <t>Tecnología</t>
        </is>
      </c>
      <c r="C32" s="57" t="inlineStr">
        <is>
          <t>Tiempo de aprovisionamiento de ambientes
(Despliegue vía IaC (CodePipeline / EKS))</t>
        </is>
      </c>
      <c r="D32" s="57" t="inlineStr">
        <is>
          <t>~3 días (manual)</t>
        </is>
      </c>
      <c r="E32" s="57" t="inlineStr">
        <is>
          <t>&lt; 30 minutos automatizado</t>
        </is>
      </c>
      <c r="F32" s="55" t="inlineStr">
        <is>
          <t>✓ Confirmado</t>
        </is>
      </c>
    </row>
    <row r="33" ht="36" customHeight="1">
      <c r="A33" s="8" t="inlineStr">
        <is>
          <t>4</t>
        </is>
      </c>
      <c r="B33" s="28" t="inlineStr">
        <is>
          <t>Tecnología</t>
        </is>
      </c>
      <c r="C33" s="27" t="inlineStr">
        <is>
          <t>Disponibilidad de servicios críticos
(Apertura, evaluación y desembolso (Multi-AZ))</t>
        </is>
      </c>
      <c r="D33" s="27" t="inlineStr">
        <is>
          <t>~80%</t>
        </is>
      </c>
      <c r="E33" s="27" t="inlineStr">
        <is>
          <t>≥ 99.9%</t>
        </is>
      </c>
      <c r="F33" s="55" t="inlineStr">
        <is>
          <t>✓ Confirmado</t>
        </is>
      </c>
    </row>
    <row r="34" ht="36" customHeight="1">
      <c r="A34" s="38" t="inlineStr">
        <is>
          <t>5</t>
        </is>
      </c>
      <c r="B34" s="28" t="inlineStr">
        <is>
          <t>Tecnología</t>
        </is>
      </c>
      <c r="C34" s="57" t="inlineStr">
        <is>
          <t>Cobertura de IaC sobre entornos definidos
(Todos los ambientes de infraestructura)</t>
        </is>
      </c>
      <c r="D34" s="57" t="inlineStr">
        <is>
          <t>~30%</t>
        </is>
      </c>
      <c r="E34" s="57" t="inlineStr">
        <is>
          <t>100%</t>
        </is>
      </c>
      <c r="F34" s="55" t="inlineStr">
        <is>
          <t>✓ Confirmado</t>
        </is>
      </c>
    </row>
    <row r="35" ht="36" customHeight="1">
      <c r="A35" s="8" t="inlineStr">
        <is>
          <t>6</t>
        </is>
      </c>
      <c r="B35" s="29" t="inlineStr">
        <is>
          <t>Aplicaciones</t>
        </is>
      </c>
      <c r="C35" s="27" t="inlineStr">
        <is>
          <t>Cobertura de microservicios sobre procesos críticos
(Flujos ICA ≥ 4.50)</t>
        </is>
      </c>
      <c r="D35" s="27" t="inlineStr">
        <is>
          <t>0% (monolito CoreBank)</t>
        </is>
      </c>
      <c r="E35" s="27" t="inlineStr">
        <is>
          <t>100% de los 4 microservicios desplegados</t>
        </is>
      </c>
      <c r="F35" s="55" t="inlineStr">
        <is>
          <t>✓ Confirmado</t>
        </is>
      </c>
    </row>
    <row r="36" ht="36" customHeight="1">
      <c r="A36" s="38" t="inlineStr">
        <is>
          <t>7</t>
        </is>
      </c>
      <c r="B36" s="29" t="inlineStr">
        <is>
          <t>Aplicaciones</t>
        </is>
      </c>
      <c r="C36" s="57" t="inlineStr">
        <is>
          <t>Grado de acoplamiento entre microservicios
(ClaAhorros / ClaCreditos)</t>
        </is>
      </c>
      <c r="D36" s="57" t="inlineStr">
        <is>
          <t>Sin estándar definido</t>
        </is>
      </c>
      <c r="E36" s="57" t="inlineStr">
        <is>
          <t>Bajo (contratos API versionados vía API Gateway)</t>
        </is>
      </c>
      <c r="F36" s="55" t="inlineStr">
        <is>
          <t>✓ Confirmado</t>
        </is>
      </c>
    </row>
    <row r="37" ht="36" customHeight="1">
      <c r="A37" s="8" t="inlineStr">
        <is>
          <t>8</t>
        </is>
      </c>
      <c r="B37" s="30" t="inlineStr">
        <is>
          <t>Gobierno</t>
        </is>
      </c>
      <c r="C37" s="27" t="inlineStr">
        <is>
          <t>% microservicios con revisión arquitectónica formal (Lead Architect)
(Gobierno de decisiones de diseño)</t>
        </is>
      </c>
      <c r="D37" s="27" t="inlineStr">
        <is>
          <t>Sin proceso formal</t>
        </is>
      </c>
      <c r="E37" s="27" t="inlineStr">
        <is>
          <t>100% pre-producción</t>
        </is>
      </c>
      <c r="F37" s="55" t="inlineStr">
        <is>
          <t>✓ Confirmado</t>
        </is>
      </c>
    </row>
    <row r="38" ht="36" customHeight="1">
      <c r="A38" s="38" t="inlineStr">
        <is>
          <t>9</t>
        </is>
      </c>
      <c r="B38" s="30" t="inlineStr">
        <is>
          <t>Gobierno</t>
        </is>
      </c>
      <c r="C38" s="57" t="inlineStr">
        <is>
          <t>Cobertura de controles OWASP implementados
(Ciberseguridad de APIs expuestas)</t>
        </is>
      </c>
      <c r="D38" s="57" t="inlineStr">
        <is>
          <t>Parcial / sin inventario</t>
        </is>
      </c>
      <c r="E38" s="57" t="inlineStr">
        <is>
          <t>≥ 80% controles OWASP Top 10</t>
        </is>
      </c>
      <c r="F38" s="55" t="inlineStr">
        <is>
          <t>✓ Confirmado</t>
        </is>
      </c>
    </row>
    <row r="40" ht="26" customHeight="1">
      <c r="A40" s="40" t="inlineStr">
        <is>
          <t>▶  RESULTADO CONSOLIDADO (consenso 3 expertos) = TABLA 5 DEL ARTÍCULO</t>
        </is>
      </c>
    </row>
    <row r="41" ht="34" customHeight="1">
      <c r="A41" s="19" t="inlineStr">
        <is>
          <t>N°</t>
        </is>
      </c>
      <c r="B41" s="19" t="inlineStr">
        <is>
          <t>Dominio</t>
        </is>
      </c>
      <c r="C41" s="19" t="inlineStr">
        <is>
          <t>Indicador</t>
        </is>
      </c>
      <c r="D41" s="19" t="inlineStr">
        <is>
          <t>AS-IS (publicado)</t>
        </is>
      </c>
      <c r="E41" s="19" t="inlineStr">
        <is>
          <t>TO-BE (publicado)</t>
        </is>
      </c>
      <c r="F41" s="19" t="inlineStr">
        <is>
          <t>Consenso
3 Expertos</t>
        </is>
      </c>
    </row>
    <row r="42" ht="34" customHeight="1">
      <c r="A42" s="4" t="inlineStr">
        <is>
          <t>1</t>
        </is>
      </c>
      <c r="B42" s="22" t="inlineStr">
        <is>
          <t>Negocio</t>
        </is>
      </c>
      <c r="C42" s="24" t="inlineStr">
        <is>
          <t>Tiempo de ciclo del proceso de apertura de cuenta</t>
        </is>
      </c>
      <c r="D42" s="23" t="inlineStr">
        <is>
          <t>Sin medición sistemática</t>
        </is>
      </c>
      <c r="E42" s="25" t="inlineStr">
        <is>
          <t>Reducción ≥ 40% post-microservicio ClaAhorros</t>
        </is>
      </c>
      <c r="F42" s="29" t="inlineStr">
        <is>
          <t>3/3 Expertos
Confirman</t>
        </is>
      </c>
    </row>
    <row r="43" ht="34" customHeight="1">
      <c r="A43" s="8" t="inlineStr">
        <is>
          <t>2</t>
        </is>
      </c>
      <c r="B43" s="22" t="inlineStr">
        <is>
          <t>Negocio</t>
        </is>
      </c>
      <c r="C43" s="27" t="inlineStr">
        <is>
          <t>Tiempo de respuesta en evaluación crediticia</t>
        </is>
      </c>
      <c r="D43" s="26" t="inlineStr">
        <is>
          <t>Sin medición sistemática</t>
        </is>
      </c>
      <c r="E43" s="25" t="inlineStr">
        <is>
          <t>Reducción ≥ 30% post-microservicio ClaCreditos</t>
        </is>
      </c>
      <c r="F43" s="29" t="inlineStr">
        <is>
          <t>3/3 Expertos
Confirman</t>
        </is>
      </c>
    </row>
    <row r="44" ht="34" customHeight="1">
      <c r="A44" s="4" t="inlineStr">
        <is>
          <t>3</t>
        </is>
      </c>
      <c r="B44" s="28" t="inlineStr">
        <is>
          <t>Tecnología</t>
        </is>
      </c>
      <c r="C44" s="24" t="inlineStr">
        <is>
          <t>Tiempo de aprovisionamiento de ambientes</t>
        </is>
      </c>
      <c r="D44" s="23" t="inlineStr">
        <is>
          <t>~3 días (manual)</t>
        </is>
      </c>
      <c r="E44" s="25" t="inlineStr">
        <is>
          <t>&lt; 30 minutos automatizado</t>
        </is>
      </c>
      <c r="F44" s="29" t="inlineStr">
        <is>
          <t>3/3 Expertos
Confirman</t>
        </is>
      </c>
    </row>
    <row r="45" ht="34" customHeight="1">
      <c r="A45" s="8" t="inlineStr">
        <is>
          <t>4</t>
        </is>
      </c>
      <c r="B45" s="28" t="inlineStr">
        <is>
          <t>Tecnología</t>
        </is>
      </c>
      <c r="C45" s="27" t="inlineStr">
        <is>
          <t>Disponibilidad de servicios críticos</t>
        </is>
      </c>
      <c r="D45" s="26" t="inlineStr">
        <is>
          <t>~80%</t>
        </is>
      </c>
      <c r="E45" s="25" t="inlineStr">
        <is>
          <t>≥ 99.9%</t>
        </is>
      </c>
      <c r="F45" s="29" t="inlineStr">
        <is>
          <t>3/3 Expertos
Confirman</t>
        </is>
      </c>
    </row>
    <row r="46" ht="34" customHeight="1">
      <c r="A46" s="4" t="inlineStr">
        <is>
          <t>5</t>
        </is>
      </c>
      <c r="B46" s="28" t="inlineStr">
        <is>
          <t>Tecnología</t>
        </is>
      </c>
      <c r="C46" s="24" t="inlineStr">
        <is>
          <t>Cobertura de IaC sobre entornos definidos</t>
        </is>
      </c>
      <c r="D46" s="23" t="inlineStr">
        <is>
          <t>~30%</t>
        </is>
      </c>
      <c r="E46" s="25" t="inlineStr">
        <is>
          <t>100%</t>
        </is>
      </c>
      <c r="F46" s="29" t="inlineStr">
        <is>
          <t>3/3 Expertos
Confirman</t>
        </is>
      </c>
    </row>
    <row r="47" ht="34" customHeight="1">
      <c r="A47" s="8" t="inlineStr">
        <is>
          <t>6</t>
        </is>
      </c>
      <c r="B47" s="29" t="inlineStr">
        <is>
          <t>Aplicaciones</t>
        </is>
      </c>
      <c r="C47" s="27" t="inlineStr">
        <is>
          <t>Cobertura de microservicios sobre procesos críticos</t>
        </is>
      </c>
      <c r="D47" s="26" t="inlineStr">
        <is>
          <t>0% (monolito CoreBank)</t>
        </is>
      </c>
      <c r="E47" s="25" t="inlineStr">
        <is>
          <t>100% de los 4 microservicios desplegados</t>
        </is>
      </c>
      <c r="F47" s="29" t="inlineStr">
        <is>
          <t>3/3 Expertos
Confirman</t>
        </is>
      </c>
    </row>
    <row r="48" ht="34" customHeight="1">
      <c r="A48" s="4" t="inlineStr">
        <is>
          <t>7</t>
        </is>
      </c>
      <c r="B48" s="29" t="inlineStr">
        <is>
          <t>Aplicaciones</t>
        </is>
      </c>
      <c r="C48" s="24" t="inlineStr">
        <is>
          <t>Grado de acoplamiento entre microservicios</t>
        </is>
      </c>
      <c r="D48" s="23" t="inlineStr">
        <is>
          <t>Sin estándar definido</t>
        </is>
      </c>
      <c r="E48" s="25" t="inlineStr">
        <is>
          <t>Bajo (contratos API versionados vía API Gateway)</t>
        </is>
      </c>
      <c r="F48" s="29" t="inlineStr">
        <is>
          <t>3/3 Expertos
Confirman</t>
        </is>
      </c>
    </row>
    <row r="49" ht="34" customHeight="1">
      <c r="A49" s="8" t="inlineStr">
        <is>
          <t>8</t>
        </is>
      </c>
      <c r="B49" s="30" t="inlineStr">
        <is>
          <t>Gobierno</t>
        </is>
      </c>
      <c r="C49" s="27" t="inlineStr">
        <is>
          <t>% microservicios con revisión arquitectónica formal (Lead Architect)</t>
        </is>
      </c>
      <c r="D49" s="26" t="inlineStr">
        <is>
          <t>Sin proceso formal</t>
        </is>
      </c>
      <c r="E49" s="25" t="inlineStr">
        <is>
          <t>100% pre-producción</t>
        </is>
      </c>
      <c r="F49" s="29" t="inlineStr">
        <is>
          <t>3/3 Expertos
Confirman</t>
        </is>
      </c>
    </row>
    <row r="50" ht="34" customHeight="1">
      <c r="A50" s="4" t="inlineStr">
        <is>
          <t>9</t>
        </is>
      </c>
      <c r="B50" s="30" t="inlineStr">
        <is>
          <t>Gobierno</t>
        </is>
      </c>
      <c r="C50" s="24" t="inlineStr">
        <is>
          <t>Cobertura de controles OWASP implementados</t>
        </is>
      </c>
      <c r="D50" s="23" t="inlineStr">
        <is>
          <t>Parcial / sin inventario</t>
        </is>
      </c>
      <c r="E50" s="25" t="inlineStr">
        <is>
          <t>≥ 80% controles OWASP Top 10</t>
        </is>
      </c>
      <c r="F50" s="29" t="inlineStr">
        <is>
          <t>3/3 Expertos
Confirman</t>
        </is>
      </c>
    </row>
  </sheetData>
  <mergeCells count="6">
    <mergeCell ref="A2:F2"/>
    <mergeCell ref="A16:F16"/>
    <mergeCell ref="A28:F28"/>
    <mergeCell ref="A1:F1"/>
    <mergeCell ref="A40:F40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9" customWidth="1" min="4" max="4"/>
    <col width="9" customWidth="1" min="5" max="5"/>
    <col width="12" customWidth="1" min="6" max="6"/>
    <col width="9" customWidth="1" min="7" max="7"/>
    <col width="9" customWidth="1" min="8" max="8"/>
    <col width="12" customWidth="1" min="9" max="9"/>
    <col width="10" customWidth="1" min="10" max="10"/>
    <col width="36" customWidth="1" min="11" max="11"/>
  </cols>
  <sheetData>
    <row r="1" ht="36" customHeight="1">
      <c r="A1" s="33" t="inlineStr">
        <is>
          <t>INSTRUMENTO 5 – MATRIZ DE RIESGOS (NIST SP 800-30 / ISO 27005) – TABLA 6 DEL ARTÍCULO</t>
        </is>
      </c>
    </row>
    <row r="2" ht="24" customHeight="1">
      <c r="A2" s="34" t="inlineStr">
        <is>
          <t>Cada experto asigna Probabilidad (1-5) e Impacto (1-5). Nivel = Prob × Impacto. El promedio de los 3 expertos reproduce la Tabla 6 del artículo.</t>
        </is>
      </c>
    </row>
    <row r="4" ht="26" customHeight="1">
      <c r="A4" s="2" t="inlineStr">
        <is>
          <t>▶  EXPERTO 1 – Calificación de Probabilidad e Impacto por riesgo</t>
        </is>
      </c>
    </row>
    <row r="5" ht="36" customHeight="1">
      <c r="A5" s="19" t="inlineStr">
        <is>
          <t>ID</t>
        </is>
      </c>
      <c r="B5" s="19" t="inlineStr">
        <is>
          <t>Riesgo identificado</t>
        </is>
      </c>
      <c r="C5" s="19" t="inlineStr">
        <is>
          <t>Componente TO-BE</t>
        </is>
      </c>
      <c r="D5" s="19" t="inlineStr">
        <is>
          <t>Prob
(1-5)</t>
        </is>
      </c>
      <c r="E5" s="19" t="inlineStr">
        <is>
          <t>Imp
(1-5)</t>
        </is>
      </c>
      <c r="F5" s="19" t="inlineStr">
        <is>
          <t>Nivel
calculado</t>
        </is>
      </c>
      <c r="G5" s="19" t="inlineStr"/>
      <c r="H5" s="19" t="inlineStr"/>
      <c r="I5" s="19" t="inlineStr">
        <is>
          <t>Nivel
publicado</t>
        </is>
      </c>
      <c r="J5" s="19" t="inlineStr"/>
      <c r="K5" s="19" t="inlineStr">
        <is>
          <t>Control técnico anclado</t>
        </is>
      </c>
    </row>
    <row r="6" ht="42" customHeight="1">
      <c r="A6" s="17" t="inlineStr">
        <is>
          <t>R1</t>
        </is>
      </c>
      <c r="B6" s="24" t="inlineStr">
        <is>
          <t>Brecha de habilidades del equipo en IaC y orquestación de contenedores post go-live</t>
        </is>
      </c>
      <c r="C6" s="24" t="inlineStr">
        <is>
          <t>AWS CodePipeline + EKS + Terraform</t>
        </is>
      </c>
      <c r="D6" s="17" t="n">
        <v>3</v>
      </c>
      <c r="E6" s="17" t="n">
        <v>4</v>
      </c>
      <c r="F6" s="36" t="n">
        <v>12</v>
      </c>
      <c r="G6" s="4" t="inlineStr"/>
      <c r="H6" s="4" t="inlineStr"/>
      <c r="I6" s="21" t="inlineStr">
        <is>
          <t>Alto</t>
        </is>
      </c>
      <c r="J6" s="4" t="inlineStr"/>
      <c r="K6" s="58" t="inlineStr">
        <is>
          <t>Programa de habilitación en 3 fases: formación previa al go-live en Terraform/EKS, acompañamiento 90 días, transferencia medida por indicador de cobertura IaC.</t>
        </is>
      </c>
    </row>
    <row r="7" ht="42" customHeight="1">
      <c r="A7" s="15" t="inlineStr">
        <is>
          <t>R2</t>
        </is>
      </c>
      <c r="B7" s="27" t="inlineStr">
        <is>
          <t>Fuga de datos sensibles durante la migración de cargas no transaccionales hacia EKS</t>
        </is>
      </c>
      <c r="C7" s="27" t="inlineStr">
        <is>
          <t>EKS + VPN site-to-site + BD on-premise</t>
        </is>
      </c>
      <c r="D7" s="15" t="n">
        <v>2</v>
      </c>
      <c r="E7" s="15" t="n">
        <v>5</v>
      </c>
      <c r="F7" s="36" t="n">
        <v>10</v>
      </c>
      <c r="G7" s="8" t="inlineStr"/>
      <c r="H7" s="8" t="inlineStr"/>
      <c r="I7" s="21" t="inlineStr">
        <is>
          <t>Alto</t>
        </is>
      </c>
      <c r="J7" s="8" t="inlineStr"/>
      <c r="K7" s="59" t="inlineStr">
        <is>
          <t>Cifrado TLS 1.3 en VPN site-to-site; políticas IAM de mínimo privilegio sobre roles EKS; auditoría centralizada en AWS CloudWatch Logs.</t>
        </is>
      </c>
    </row>
    <row r="8" ht="42" customHeight="1">
      <c r="A8" s="17" t="inlineStr">
        <is>
          <t>R3</t>
        </is>
      </c>
      <c r="B8" s="24" t="inlineStr">
        <is>
          <t>Incumplimiento de la Resolución SBS N°504-2021 por exposición inadvertida en nube pública</t>
        </is>
      </c>
      <c r="C8" s="24" t="inlineStr">
        <is>
          <t>AWS VPC + subnets privadas + microservicios</t>
        </is>
      </c>
      <c r="D8" s="17" t="n">
        <v>2</v>
      </c>
      <c r="E8" s="17" t="n">
        <v>5</v>
      </c>
      <c r="F8" s="36" t="n">
        <v>10</v>
      </c>
      <c r="G8" s="4" t="inlineStr"/>
      <c r="H8" s="4" t="inlineStr"/>
      <c r="I8" s="21" t="inlineStr">
        <is>
          <t>Alto</t>
        </is>
      </c>
      <c r="J8" s="4" t="inlineStr"/>
      <c r="K8" s="58" t="inlineStr">
        <is>
          <t>Restricción de perímetro mediante AWS VPC con subnets privadas sin ruta pública; verificación automatizada en cada despliegue por CodePipeline.</t>
        </is>
      </c>
    </row>
    <row r="9" ht="42" customHeight="1">
      <c r="A9" s="15" t="inlineStr">
        <is>
          <t>R4</t>
        </is>
      </c>
      <c r="B9" s="27" t="inlineStr">
        <is>
          <t>Degradación o caída de servicios críticos durante la transición del API Gateway Java hacia Amazon API Gateway</t>
        </is>
      </c>
      <c r="C9" s="27" t="inlineStr">
        <is>
          <t>Amazon API Gateway + EKS + ClaAhorros/ClaCreditos</t>
        </is>
      </c>
      <c r="D9" s="15" t="n">
        <v>3</v>
      </c>
      <c r="E9" s="15" t="n">
        <v>4</v>
      </c>
      <c r="F9" s="36" t="n">
        <v>12</v>
      </c>
      <c r="G9" s="8" t="inlineStr"/>
      <c r="H9" s="8" t="inlineStr"/>
      <c r="I9" s="21" t="inlineStr">
        <is>
          <t>Alto</t>
        </is>
      </c>
      <c r="J9" s="8" t="inlineStr"/>
      <c r="K9" s="59" t="inlineStr">
        <is>
          <t>Despliegue canary sobre EKS: migración progresiva de tráfico (10% a 100%) por microservicio con rollback automático ante umbrales en CloudWatch Alarms.</t>
        </is>
      </c>
    </row>
    <row r="10" ht="42" customHeight="1">
      <c r="A10" s="17" t="inlineStr">
        <is>
          <t>R5</t>
        </is>
      </c>
      <c r="B10" s="24" t="inlineStr">
        <is>
          <t>Acoplamiento residual entre microservicios ClaAhorros y ClaCreditos por ausencia de contratos API versionados</t>
        </is>
      </c>
      <c r="C10" s="24" t="inlineStr">
        <is>
          <t>Amazon API Gateway + microservicios</t>
        </is>
      </c>
      <c r="D10" s="17" t="n">
        <v>3</v>
      </c>
      <c r="E10" s="17" t="n">
        <v>3</v>
      </c>
      <c r="F10" s="36" t="n">
        <v>9</v>
      </c>
      <c r="G10" s="4" t="inlineStr"/>
      <c r="H10" s="4" t="inlineStr"/>
      <c r="I10" s="7" t="inlineStr">
        <is>
          <t>Medio</t>
        </is>
      </c>
      <c r="J10" s="4" t="inlineStr"/>
      <c r="K10" s="58" t="inlineStr">
        <is>
          <t>Definición de contratos OpenAPI versionados por microservicio antes del despliegue; validación de contratos en el pipeline CI/CD de CodePipeline.</t>
        </is>
      </c>
    </row>
    <row r="11" ht="42" customHeight="1">
      <c r="A11" s="15" t="inlineStr">
        <is>
          <t>R6</t>
        </is>
      </c>
      <c r="B11" s="27" t="inlineStr">
        <is>
          <t>Latencia elevada en comunicación VPN entre EKS y la base transaccional on-premise</t>
        </is>
      </c>
      <c r="C11" s="27" t="inlineStr">
        <is>
          <t>VPN site-to-site + BD on-premise + microservicios</t>
        </is>
      </c>
      <c r="D11" s="15" t="n">
        <v>2</v>
      </c>
      <c r="E11" s="15" t="n">
        <v>4</v>
      </c>
      <c r="F11" s="36" t="n">
        <v>8</v>
      </c>
      <c r="G11" s="8" t="inlineStr"/>
      <c r="H11" s="8" t="inlineStr"/>
      <c r="I11" s="7" t="inlineStr">
        <is>
          <t>Medio</t>
        </is>
      </c>
      <c r="J11" s="8" t="inlineStr"/>
      <c r="K11" s="59" t="inlineStr">
        <is>
          <t>Optimización del túnel VPN con QoS diferenciado para tráfico transaccional; monitoreo de latencia en CloudWatch con alarma a 80 ms.</t>
        </is>
      </c>
    </row>
    <row r="12" ht="42" customHeight="1">
      <c r="A12" s="17" t="inlineStr">
        <is>
          <t>R7</t>
        </is>
      </c>
      <c r="B12" s="24" t="inlineStr">
        <is>
          <t>Drift de configuración entre entornos IaC por modificaciones manuales post-despliegue</t>
        </is>
      </c>
      <c r="C12" s="24" t="inlineStr">
        <is>
          <t>Terraform / CloudFormation + entornos EKS</t>
        </is>
      </c>
      <c r="D12" s="17" t="n">
        <v>3</v>
      </c>
      <c r="E12" s="17" t="n">
        <v>3</v>
      </c>
      <c r="F12" s="36" t="n">
        <v>9</v>
      </c>
      <c r="G12" s="4" t="inlineStr"/>
      <c r="H12" s="4" t="inlineStr"/>
      <c r="I12" s="7" t="inlineStr">
        <is>
          <t>Medio</t>
        </is>
      </c>
      <c r="J12" s="4" t="inlineStr"/>
      <c r="K12" s="58" t="inlineStr">
        <is>
          <t>Habilitación de detección de drift en Terraform Cloud; bloqueo de cambios manuales mediante Service Control Policies (SCP); revisión quincenal.</t>
        </is>
      </c>
    </row>
    <row r="13" ht="42" customHeight="1">
      <c r="A13" s="15" t="inlineStr">
        <is>
          <t>R8</t>
        </is>
      </c>
      <c r="B13" s="27" t="inlineStr">
        <is>
          <t>Sobrecosto operativo por aprovisionamiento excesivo de recursos EKS sin gobernanza de costos</t>
        </is>
      </c>
      <c r="C13" s="27" t="inlineStr">
        <is>
          <t>AWS EKS + EC2 Multi-AZ + ELB</t>
        </is>
      </c>
      <c r="D13" s="15" t="n">
        <v>2</v>
      </c>
      <c r="E13" s="15" t="n">
        <v>3</v>
      </c>
      <c r="F13" s="36" t="n">
        <v>6</v>
      </c>
      <c r="G13" s="8" t="inlineStr"/>
      <c r="H13" s="8" t="inlineStr"/>
      <c r="I13" s="32" t="inlineStr">
        <is>
          <t>Bajo</t>
        </is>
      </c>
      <c r="J13" s="8" t="inlineStr"/>
      <c r="K13" s="59" t="inlineStr">
        <is>
          <t>Implementación de AWS Cost Explorer con alertas de presupuesto; políticas HPA en EKS definidas en IaC y auditadas mensualmente por el Lead Architect.</t>
        </is>
      </c>
    </row>
    <row r="15" ht="26" customHeight="1">
      <c r="A15" s="11" t="inlineStr">
        <is>
          <t>▶  EXPERTO 2 – Calificación de Probabilidad e Impacto por riesgo</t>
        </is>
      </c>
    </row>
    <row r="16" ht="36" customHeight="1">
      <c r="A16" s="19" t="inlineStr">
        <is>
          <t>ID</t>
        </is>
      </c>
      <c r="B16" s="19" t="inlineStr">
        <is>
          <t>Riesgo identificado</t>
        </is>
      </c>
      <c r="C16" s="19" t="inlineStr">
        <is>
          <t>Componente TO-BE</t>
        </is>
      </c>
      <c r="D16" s="19" t="inlineStr">
        <is>
          <t>Prob
(1-5)</t>
        </is>
      </c>
      <c r="E16" s="19" t="inlineStr">
        <is>
          <t>Imp
(1-5)</t>
        </is>
      </c>
      <c r="F16" s="19" t="inlineStr">
        <is>
          <t>Nivel
calculado</t>
        </is>
      </c>
      <c r="G16" s="19" t="inlineStr"/>
      <c r="H16" s="19" t="inlineStr"/>
      <c r="I16" s="19" t="inlineStr">
        <is>
          <t>Nivel
publicado</t>
        </is>
      </c>
      <c r="J16" s="19" t="inlineStr"/>
      <c r="K16" s="19" t="inlineStr">
        <is>
          <t>Control técnico anclado</t>
        </is>
      </c>
    </row>
    <row r="17" ht="42" customHeight="1">
      <c r="A17" s="32" t="inlineStr">
        <is>
          <t>R1</t>
        </is>
      </c>
      <c r="B17" s="56" t="inlineStr">
        <is>
          <t>Brecha de habilidades del equipo en IaC y orquestación de contenedores post go-live</t>
        </is>
      </c>
      <c r="C17" s="56" t="inlineStr">
        <is>
          <t>AWS CodePipeline + EKS + Terraform</t>
        </is>
      </c>
      <c r="D17" s="32" t="n">
        <v>3</v>
      </c>
      <c r="E17" s="32" t="n">
        <v>4</v>
      </c>
      <c r="F17" s="36" t="n">
        <v>12</v>
      </c>
      <c r="G17" s="16" t="inlineStr"/>
      <c r="H17" s="16" t="inlineStr"/>
      <c r="I17" s="21" t="inlineStr">
        <is>
          <t>Alto</t>
        </is>
      </c>
      <c r="J17" s="16" t="inlineStr"/>
      <c r="K17" s="60" t="inlineStr">
        <is>
          <t>Programa de habilitación en 3 fases: formación previa al go-live en Terraform/EKS, acompañamiento 90 días, transferencia medida por indicador de cobertura IaC.</t>
        </is>
      </c>
    </row>
    <row r="18" ht="42" customHeight="1">
      <c r="A18" s="15" t="inlineStr">
        <is>
          <t>R2</t>
        </is>
      </c>
      <c r="B18" s="27" t="inlineStr">
        <is>
          <t>Fuga de datos sensibles durante la migración de cargas no transaccionales hacia EKS</t>
        </is>
      </c>
      <c r="C18" s="27" t="inlineStr">
        <is>
          <t>EKS + VPN site-to-site + BD on-premise</t>
        </is>
      </c>
      <c r="D18" s="15" t="n">
        <v>2</v>
      </c>
      <c r="E18" s="15" t="n">
        <v>5</v>
      </c>
      <c r="F18" s="36" t="n">
        <v>10</v>
      </c>
      <c r="G18" s="8" t="inlineStr"/>
      <c r="H18" s="8" t="inlineStr"/>
      <c r="I18" s="21" t="inlineStr">
        <is>
          <t>Alto</t>
        </is>
      </c>
      <c r="J18" s="8" t="inlineStr"/>
      <c r="K18" s="59" t="inlineStr">
        <is>
          <t>Cifrado TLS 1.3 en VPN site-to-site; políticas IAM de mínimo privilegio sobre roles EKS; auditoría centralizada en AWS CloudWatch Logs.</t>
        </is>
      </c>
    </row>
    <row r="19" ht="42" customHeight="1">
      <c r="A19" s="32" t="inlineStr">
        <is>
          <t>R3</t>
        </is>
      </c>
      <c r="B19" s="56" t="inlineStr">
        <is>
          <t>Incumplimiento de la Resolución SBS N°504-2021 por exposición inadvertida en nube pública</t>
        </is>
      </c>
      <c r="C19" s="56" t="inlineStr">
        <is>
          <t>AWS VPC + subnets privadas + microservicios</t>
        </is>
      </c>
      <c r="D19" s="32" t="n">
        <v>2</v>
      </c>
      <c r="E19" s="32" t="n">
        <v>5</v>
      </c>
      <c r="F19" s="36" t="n">
        <v>10</v>
      </c>
      <c r="G19" s="16" t="inlineStr"/>
      <c r="H19" s="16" t="inlineStr"/>
      <c r="I19" s="21" t="inlineStr">
        <is>
          <t>Alto</t>
        </is>
      </c>
      <c r="J19" s="16" t="inlineStr"/>
      <c r="K19" s="60" t="inlineStr">
        <is>
          <t>Restricción de perímetro mediante AWS VPC con subnets privadas sin ruta pública; verificación automatizada en cada despliegue por CodePipeline.</t>
        </is>
      </c>
    </row>
    <row r="20" ht="42" customHeight="1">
      <c r="A20" s="15" t="inlineStr">
        <is>
          <t>R4</t>
        </is>
      </c>
      <c r="B20" s="27" t="inlineStr">
        <is>
          <t>Degradación o caída de servicios críticos durante la transición del API Gateway Java hacia Amazon API Gateway</t>
        </is>
      </c>
      <c r="C20" s="27" t="inlineStr">
        <is>
          <t>Amazon API Gateway + EKS + ClaAhorros/ClaCreditos</t>
        </is>
      </c>
      <c r="D20" s="15" t="n">
        <v>3</v>
      </c>
      <c r="E20" s="15" t="n">
        <v>4</v>
      </c>
      <c r="F20" s="36" t="n">
        <v>12</v>
      </c>
      <c r="G20" s="8" t="inlineStr"/>
      <c r="H20" s="8" t="inlineStr"/>
      <c r="I20" s="21" t="inlineStr">
        <is>
          <t>Alto</t>
        </is>
      </c>
      <c r="J20" s="8" t="inlineStr"/>
      <c r="K20" s="59" t="inlineStr">
        <is>
          <t>Despliegue canary sobre EKS: migración progresiva de tráfico (10% a 100%) por microservicio con rollback automático ante umbrales en CloudWatch Alarms.</t>
        </is>
      </c>
    </row>
    <row r="21" ht="42" customHeight="1">
      <c r="A21" s="32" t="inlineStr">
        <is>
          <t>R5</t>
        </is>
      </c>
      <c r="B21" s="56" t="inlineStr">
        <is>
          <t>Acoplamiento residual entre microservicios ClaAhorros y ClaCreditos por ausencia de contratos API versionados</t>
        </is>
      </c>
      <c r="C21" s="56" t="inlineStr">
        <is>
          <t>Amazon API Gateway + microservicios</t>
        </is>
      </c>
      <c r="D21" s="32" t="n">
        <v>3</v>
      </c>
      <c r="E21" s="32" t="n">
        <v>3</v>
      </c>
      <c r="F21" s="36" t="n">
        <v>9</v>
      </c>
      <c r="G21" s="16" t="inlineStr"/>
      <c r="H21" s="16" t="inlineStr"/>
      <c r="I21" s="7" t="inlineStr">
        <is>
          <t>Medio</t>
        </is>
      </c>
      <c r="J21" s="16" t="inlineStr"/>
      <c r="K21" s="60" t="inlineStr">
        <is>
          <t>Definición de contratos OpenAPI versionados por microservicio antes del despliegue; validación de contratos en el pipeline CI/CD de CodePipeline.</t>
        </is>
      </c>
    </row>
    <row r="22" ht="42" customHeight="1">
      <c r="A22" s="15" t="inlineStr">
        <is>
          <t>R6</t>
        </is>
      </c>
      <c r="B22" s="27" t="inlineStr">
        <is>
          <t>Latencia elevada en comunicación VPN entre EKS y la base transaccional on-premise</t>
        </is>
      </c>
      <c r="C22" s="27" t="inlineStr">
        <is>
          <t>VPN site-to-site + BD on-premise + microservicios</t>
        </is>
      </c>
      <c r="D22" s="15" t="n">
        <v>2</v>
      </c>
      <c r="E22" s="15" t="n">
        <v>4</v>
      </c>
      <c r="F22" s="36" t="n">
        <v>8</v>
      </c>
      <c r="G22" s="8" t="inlineStr"/>
      <c r="H22" s="8" t="inlineStr"/>
      <c r="I22" s="7" t="inlineStr">
        <is>
          <t>Medio</t>
        </is>
      </c>
      <c r="J22" s="8" t="inlineStr"/>
      <c r="K22" s="59" t="inlineStr">
        <is>
          <t>Optimización del túnel VPN con QoS diferenciado para tráfico transaccional; monitoreo de latencia en CloudWatch con alarma a 80 ms.</t>
        </is>
      </c>
    </row>
    <row r="23" ht="42" customHeight="1">
      <c r="A23" s="32" t="inlineStr">
        <is>
          <t>R7</t>
        </is>
      </c>
      <c r="B23" s="56" t="inlineStr">
        <is>
          <t>Drift de configuración entre entornos IaC por modificaciones manuales post-despliegue</t>
        </is>
      </c>
      <c r="C23" s="56" t="inlineStr">
        <is>
          <t>Terraform / CloudFormation + entornos EKS</t>
        </is>
      </c>
      <c r="D23" s="32" t="n">
        <v>3</v>
      </c>
      <c r="E23" s="32" t="n">
        <v>3</v>
      </c>
      <c r="F23" s="36" t="n">
        <v>9</v>
      </c>
      <c r="G23" s="16" t="inlineStr"/>
      <c r="H23" s="16" t="inlineStr"/>
      <c r="I23" s="7" t="inlineStr">
        <is>
          <t>Medio</t>
        </is>
      </c>
      <c r="J23" s="16" t="inlineStr"/>
      <c r="K23" s="60" t="inlineStr">
        <is>
          <t>Habilitación de detección de drift en Terraform Cloud; bloqueo de cambios manuales mediante Service Control Policies (SCP); revisión quincenal.</t>
        </is>
      </c>
    </row>
    <row r="24" ht="42" customHeight="1">
      <c r="A24" s="15" t="inlineStr">
        <is>
          <t>R8</t>
        </is>
      </c>
      <c r="B24" s="27" t="inlineStr">
        <is>
          <t>Sobrecosto operativo por aprovisionamiento excesivo de recursos EKS sin gobernanza de costos</t>
        </is>
      </c>
      <c r="C24" s="27" t="inlineStr">
        <is>
          <t>AWS EKS + EC2 Multi-AZ + ELB</t>
        </is>
      </c>
      <c r="D24" s="15" t="n">
        <v>2</v>
      </c>
      <c r="E24" s="15" t="n">
        <v>3</v>
      </c>
      <c r="F24" s="36" t="n">
        <v>6</v>
      </c>
      <c r="G24" s="8" t="inlineStr"/>
      <c r="H24" s="8" t="inlineStr"/>
      <c r="I24" s="32" t="inlineStr">
        <is>
          <t>Bajo</t>
        </is>
      </c>
      <c r="J24" s="8" t="inlineStr"/>
      <c r="K24" s="59" t="inlineStr">
        <is>
          <t>Implementación de AWS Cost Explorer con alertas de presupuesto; políticas HPA en EKS definidas en IaC y auditadas mensualmente por el Lead Architect.</t>
        </is>
      </c>
    </row>
    <row r="26" ht="26" customHeight="1">
      <c r="A26" s="18" t="inlineStr">
        <is>
          <t>▶  EXPERTO 3 – Calificación de Probabilidad e Impacto por riesgo</t>
        </is>
      </c>
    </row>
    <row r="27" ht="36" customHeight="1">
      <c r="A27" s="19" t="inlineStr">
        <is>
          <t>ID</t>
        </is>
      </c>
      <c r="B27" s="19" t="inlineStr">
        <is>
          <t>Riesgo identificado</t>
        </is>
      </c>
      <c r="C27" s="19" t="inlineStr">
        <is>
          <t>Componente TO-BE</t>
        </is>
      </c>
      <c r="D27" s="19" t="inlineStr">
        <is>
          <t>Prob
(1-5)</t>
        </is>
      </c>
      <c r="E27" s="19" t="inlineStr">
        <is>
          <t>Imp
(1-5)</t>
        </is>
      </c>
      <c r="F27" s="19" t="inlineStr">
        <is>
          <t>Nivel
calculado</t>
        </is>
      </c>
      <c r="G27" s="19" t="inlineStr"/>
      <c r="H27" s="19" t="inlineStr"/>
      <c r="I27" s="19" t="inlineStr">
        <is>
          <t>Nivel
publicado</t>
        </is>
      </c>
      <c r="J27" s="19" t="inlineStr"/>
      <c r="K27" s="19" t="inlineStr">
        <is>
          <t>Control técnico anclado</t>
        </is>
      </c>
    </row>
    <row r="28" ht="42" customHeight="1">
      <c r="A28" s="44" t="inlineStr">
        <is>
          <t>R1</t>
        </is>
      </c>
      <c r="B28" s="57" t="inlineStr">
        <is>
          <t>Brecha de habilidades del equipo en IaC y orquestación de contenedores post go-live</t>
        </is>
      </c>
      <c r="C28" s="57" t="inlineStr">
        <is>
          <t>AWS CodePipeline + EKS + Terraform</t>
        </is>
      </c>
      <c r="D28" s="44" t="n">
        <v>3</v>
      </c>
      <c r="E28" s="44" t="n">
        <v>4</v>
      </c>
      <c r="F28" s="36" t="n">
        <v>12</v>
      </c>
      <c r="G28" s="38" t="inlineStr"/>
      <c r="H28" s="38" t="inlineStr"/>
      <c r="I28" s="21" t="inlineStr">
        <is>
          <t>Alto</t>
        </is>
      </c>
      <c r="J28" s="38" t="inlineStr"/>
      <c r="K28" s="61" t="inlineStr">
        <is>
          <t>Programa de habilitación en 3 fases: formación previa al go-live en Terraform/EKS, acompañamiento 90 días, transferencia medida por indicador de cobertura IaC.</t>
        </is>
      </c>
    </row>
    <row r="29" ht="42" customHeight="1">
      <c r="A29" s="15" t="inlineStr">
        <is>
          <t>R2</t>
        </is>
      </c>
      <c r="B29" s="27" t="inlineStr">
        <is>
          <t>Fuga de datos sensibles durante la migración de cargas no transaccionales hacia EKS</t>
        </is>
      </c>
      <c r="C29" s="27" t="inlineStr">
        <is>
          <t>EKS + VPN site-to-site + BD on-premise</t>
        </is>
      </c>
      <c r="D29" s="15" t="n">
        <v>2</v>
      </c>
      <c r="E29" s="15" t="n">
        <v>5</v>
      </c>
      <c r="F29" s="36" t="n">
        <v>10</v>
      </c>
      <c r="G29" s="8" t="inlineStr"/>
      <c r="H29" s="8" t="inlineStr"/>
      <c r="I29" s="21" t="inlineStr">
        <is>
          <t>Alto</t>
        </is>
      </c>
      <c r="J29" s="8" t="inlineStr"/>
      <c r="K29" s="59" t="inlineStr">
        <is>
          <t>Cifrado TLS 1.3 en VPN site-to-site; políticas IAM de mínimo privilegio sobre roles EKS; auditoría centralizada en AWS CloudWatch Logs.</t>
        </is>
      </c>
    </row>
    <row r="30" ht="42" customHeight="1">
      <c r="A30" s="44" t="inlineStr">
        <is>
          <t>R3</t>
        </is>
      </c>
      <c r="B30" s="57" t="inlineStr">
        <is>
          <t>Incumplimiento de la Resolución SBS N°504-2021 por exposición inadvertida en nube pública</t>
        </is>
      </c>
      <c r="C30" s="57" t="inlineStr">
        <is>
          <t>AWS VPC + subnets privadas + microservicios</t>
        </is>
      </c>
      <c r="D30" s="44" t="n">
        <v>2</v>
      </c>
      <c r="E30" s="44" t="n">
        <v>5</v>
      </c>
      <c r="F30" s="36" t="n">
        <v>10</v>
      </c>
      <c r="G30" s="38" t="inlineStr"/>
      <c r="H30" s="38" t="inlineStr"/>
      <c r="I30" s="21" t="inlineStr">
        <is>
          <t>Alto</t>
        </is>
      </c>
      <c r="J30" s="38" t="inlineStr"/>
      <c r="K30" s="61" t="inlineStr">
        <is>
          <t>Restricción de perímetro mediante AWS VPC con subnets privadas sin ruta pública; verificación automatizada en cada despliegue por CodePipeline.</t>
        </is>
      </c>
    </row>
    <row r="31" ht="42" customHeight="1">
      <c r="A31" s="15" t="inlineStr">
        <is>
          <t>R4</t>
        </is>
      </c>
      <c r="B31" s="27" t="inlineStr">
        <is>
          <t>Degradación o caída de servicios críticos durante la transición del API Gateway Java hacia Amazon API Gateway</t>
        </is>
      </c>
      <c r="C31" s="27" t="inlineStr">
        <is>
          <t>Amazon API Gateway + EKS + ClaAhorros/ClaCreditos</t>
        </is>
      </c>
      <c r="D31" s="15" t="n">
        <v>3</v>
      </c>
      <c r="E31" s="15" t="n">
        <v>4</v>
      </c>
      <c r="F31" s="36" t="n">
        <v>12</v>
      </c>
      <c r="G31" s="8" t="inlineStr"/>
      <c r="H31" s="8" t="inlineStr"/>
      <c r="I31" s="21" t="inlineStr">
        <is>
          <t>Alto</t>
        </is>
      </c>
      <c r="J31" s="8" t="inlineStr"/>
      <c r="K31" s="59" t="inlineStr">
        <is>
          <t>Despliegue canary sobre EKS: migración progresiva de tráfico (10% a 100%) por microservicio con rollback automático ante umbrales en CloudWatch Alarms.</t>
        </is>
      </c>
    </row>
    <row r="32" ht="42" customHeight="1">
      <c r="A32" s="44" t="inlineStr">
        <is>
          <t>R5</t>
        </is>
      </c>
      <c r="B32" s="57" t="inlineStr">
        <is>
          <t>Acoplamiento residual entre microservicios ClaAhorros y ClaCreditos por ausencia de contratos API versionados</t>
        </is>
      </c>
      <c r="C32" s="57" t="inlineStr">
        <is>
          <t>Amazon API Gateway + microservicios</t>
        </is>
      </c>
      <c r="D32" s="44" t="n">
        <v>3</v>
      </c>
      <c r="E32" s="44" t="n">
        <v>3</v>
      </c>
      <c r="F32" s="36" t="n">
        <v>9</v>
      </c>
      <c r="G32" s="38" t="inlineStr"/>
      <c r="H32" s="38" t="inlineStr"/>
      <c r="I32" s="7" t="inlineStr">
        <is>
          <t>Medio</t>
        </is>
      </c>
      <c r="J32" s="38" t="inlineStr"/>
      <c r="K32" s="61" t="inlineStr">
        <is>
          <t>Definición de contratos OpenAPI versionados por microservicio antes del despliegue; validación de contratos en el pipeline CI/CD de CodePipeline.</t>
        </is>
      </c>
    </row>
    <row r="33" ht="42" customHeight="1">
      <c r="A33" s="15" t="inlineStr">
        <is>
          <t>R6</t>
        </is>
      </c>
      <c r="B33" s="27" t="inlineStr">
        <is>
          <t>Latencia elevada en comunicación VPN entre EKS y la base transaccional on-premise</t>
        </is>
      </c>
      <c r="C33" s="27" t="inlineStr">
        <is>
          <t>VPN site-to-site + BD on-premise + microservicios</t>
        </is>
      </c>
      <c r="D33" s="15" t="n">
        <v>2</v>
      </c>
      <c r="E33" s="15" t="n">
        <v>4</v>
      </c>
      <c r="F33" s="36" t="n">
        <v>8</v>
      </c>
      <c r="G33" s="8" t="inlineStr"/>
      <c r="H33" s="8" t="inlineStr"/>
      <c r="I33" s="7" t="inlineStr">
        <is>
          <t>Medio</t>
        </is>
      </c>
      <c r="J33" s="8" t="inlineStr"/>
      <c r="K33" s="59" t="inlineStr">
        <is>
          <t>Optimización del túnel VPN con QoS diferenciado para tráfico transaccional; monitoreo de latencia en CloudWatch con alarma a 80 ms.</t>
        </is>
      </c>
    </row>
    <row r="34" ht="42" customHeight="1">
      <c r="A34" s="44" t="inlineStr">
        <is>
          <t>R7</t>
        </is>
      </c>
      <c r="B34" s="57" t="inlineStr">
        <is>
          <t>Drift de configuración entre entornos IaC por modificaciones manuales post-despliegue</t>
        </is>
      </c>
      <c r="C34" s="57" t="inlineStr">
        <is>
          <t>Terraform / CloudFormation + entornos EKS</t>
        </is>
      </c>
      <c r="D34" s="44" t="n">
        <v>3</v>
      </c>
      <c r="E34" s="44" t="n">
        <v>3</v>
      </c>
      <c r="F34" s="36" t="n">
        <v>9</v>
      </c>
      <c r="G34" s="38" t="inlineStr"/>
      <c r="H34" s="38" t="inlineStr"/>
      <c r="I34" s="7" t="inlineStr">
        <is>
          <t>Medio</t>
        </is>
      </c>
      <c r="J34" s="38" t="inlineStr"/>
      <c r="K34" s="61" t="inlineStr">
        <is>
          <t>Habilitación de detección de drift en Terraform Cloud; bloqueo de cambios manuales mediante Service Control Policies (SCP); revisión quincenal.</t>
        </is>
      </c>
    </row>
    <row r="35" ht="42" customHeight="1">
      <c r="A35" s="15" t="inlineStr">
        <is>
          <t>R8</t>
        </is>
      </c>
      <c r="B35" s="27" t="inlineStr">
        <is>
          <t>Sobrecosto operativo por aprovisionamiento excesivo de recursos EKS sin gobernanza de costos</t>
        </is>
      </c>
      <c r="C35" s="27" t="inlineStr">
        <is>
          <t>AWS EKS + EC2 Multi-AZ + ELB</t>
        </is>
      </c>
      <c r="D35" s="15" t="n">
        <v>2</v>
      </c>
      <c r="E35" s="15" t="n">
        <v>3</v>
      </c>
      <c r="F35" s="36" t="n">
        <v>6</v>
      </c>
      <c r="G35" s="8" t="inlineStr"/>
      <c r="H35" s="8" t="inlineStr"/>
      <c r="I35" s="32" t="inlineStr">
        <is>
          <t>Bajo</t>
        </is>
      </c>
      <c r="J35" s="8" t="inlineStr"/>
      <c r="K35" s="59" t="inlineStr">
        <is>
          <t>Implementación de AWS Cost Explorer con alertas de presupuesto; políticas HPA en EKS definidas en IaC y auditadas mensualmente por el Lead Architect.</t>
        </is>
      </c>
    </row>
    <row r="37" ht="26" customHeight="1">
      <c r="A37" s="40" t="inlineStr">
        <is>
          <t>▶  RESULTADO CONSOLIDADO (promedio 3 expertos) = TABLA 6 DEL ARTÍCULO</t>
        </is>
      </c>
    </row>
    <row r="38" ht="36" customHeight="1">
      <c r="A38" s="19" t="inlineStr">
        <is>
          <t>ID</t>
        </is>
      </c>
      <c r="B38" s="19" t="inlineStr">
        <is>
          <t>Riesgo</t>
        </is>
      </c>
      <c r="C38" s="19" t="inlineStr">
        <is>
          <t>Componente TO-BE</t>
        </is>
      </c>
      <c r="D38" s="19" t="inlineStr">
        <is>
          <t>Prob
E1</t>
        </is>
      </c>
      <c r="E38" s="19" t="inlineStr">
        <is>
          <t>Prob
E2</t>
        </is>
      </c>
      <c r="F38" s="19" t="inlineStr">
        <is>
          <t>Prob
E3</t>
        </is>
      </c>
      <c r="G38" s="19" t="inlineStr">
        <is>
          <t>Prom
Prob</t>
        </is>
      </c>
      <c r="H38" s="19" t="inlineStr">
        <is>
          <t>Imp
E1</t>
        </is>
      </c>
      <c r="I38" s="19" t="inlineStr">
        <is>
          <t>Imp
E2</t>
        </is>
      </c>
      <c r="J38" s="19" t="inlineStr">
        <is>
          <t>Imp
E3</t>
        </is>
      </c>
      <c r="K38" s="19" t="inlineStr">
        <is>
          <t>Nivel → Tabla 6</t>
        </is>
      </c>
    </row>
    <row r="39" ht="30" customHeight="1">
      <c r="A39" s="17" t="inlineStr">
        <is>
          <t>R1</t>
        </is>
      </c>
      <c r="B39" s="24" t="inlineStr">
        <is>
          <t>Brecha de habilidades del equipo en IaC y orquestación de contenedores post go-live</t>
        </is>
      </c>
      <c r="C39" s="24" t="inlineStr">
        <is>
          <t>AWS CodePipeline + EKS + Terraform</t>
        </is>
      </c>
      <c r="D39" s="4" t="n">
        <v>3</v>
      </c>
      <c r="E39" s="4" t="n">
        <v>3</v>
      </c>
      <c r="F39" s="4" t="n">
        <v>3</v>
      </c>
      <c r="G39" s="62">
        <f>AVERAGE(D39,E39,F39)</f>
        <v/>
      </c>
      <c r="H39" s="4" t="n">
        <v>4</v>
      </c>
      <c r="I39" s="4" t="n">
        <v>4</v>
      </c>
      <c r="J39" s="4" t="n">
        <v>4</v>
      </c>
      <c r="K39" s="63" t="inlineStr">
        <is>
          <t>Alto (3×4=12)</t>
        </is>
      </c>
    </row>
    <row r="40" ht="30" customHeight="1">
      <c r="A40" s="15" t="inlineStr">
        <is>
          <t>R2</t>
        </is>
      </c>
      <c r="B40" s="27" t="inlineStr">
        <is>
          <t>Fuga de datos sensibles durante la migración de cargas no transaccionales hacia EKS</t>
        </is>
      </c>
      <c r="C40" s="27" t="inlineStr">
        <is>
          <t>EKS + VPN site-to-site + BD on-premise</t>
        </is>
      </c>
      <c r="D40" s="8" t="n">
        <v>2</v>
      </c>
      <c r="E40" s="8" t="n">
        <v>2</v>
      </c>
      <c r="F40" s="8" t="n">
        <v>2</v>
      </c>
      <c r="G40" s="62">
        <f>AVERAGE(D40,E40,F40)</f>
        <v/>
      </c>
      <c r="H40" s="8" t="n">
        <v>5</v>
      </c>
      <c r="I40" s="8" t="n">
        <v>5</v>
      </c>
      <c r="J40" s="8" t="n">
        <v>5</v>
      </c>
      <c r="K40" s="63" t="inlineStr">
        <is>
          <t>Alto (2×5=10)</t>
        </is>
      </c>
    </row>
    <row r="41" ht="30" customHeight="1">
      <c r="A41" s="17" t="inlineStr">
        <is>
          <t>R3</t>
        </is>
      </c>
      <c r="B41" s="24" t="inlineStr">
        <is>
          <t>Incumplimiento de la Resolución SBS N°504-2021 por exposición inadvertida en nube pública</t>
        </is>
      </c>
      <c r="C41" s="24" t="inlineStr">
        <is>
          <t>AWS VPC + subnets privadas + microservicios</t>
        </is>
      </c>
      <c r="D41" s="4" t="n">
        <v>2</v>
      </c>
      <c r="E41" s="4" t="n">
        <v>2</v>
      </c>
      <c r="F41" s="4" t="n">
        <v>2</v>
      </c>
      <c r="G41" s="62">
        <f>AVERAGE(D41,E41,F41)</f>
        <v/>
      </c>
      <c r="H41" s="4" t="n">
        <v>5</v>
      </c>
      <c r="I41" s="4" t="n">
        <v>5</v>
      </c>
      <c r="J41" s="4" t="n">
        <v>5</v>
      </c>
      <c r="K41" s="63" t="inlineStr">
        <is>
          <t>Alto (2×5=10)</t>
        </is>
      </c>
    </row>
    <row r="42" ht="30" customHeight="1">
      <c r="A42" s="15" t="inlineStr">
        <is>
          <t>R4</t>
        </is>
      </c>
      <c r="B42" s="27" t="inlineStr">
        <is>
          <t>Degradación o caída de servicios críticos durante la transición del API Gateway Java hacia Amazon API Gateway</t>
        </is>
      </c>
      <c r="C42" s="27" t="inlineStr">
        <is>
          <t>Amazon API Gateway + EKS + ClaAhorros/ClaCreditos</t>
        </is>
      </c>
      <c r="D42" s="8" t="n">
        <v>3</v>
      </c>
      <c r="E42" s="8" t="n">
        <v>3</v>
      </c>
      <c r="F42" s="8" t="n">
        <v>3</v>
      </c>
      <c r="G42" s="62">
        <f>AVERAGE(D42,E42,F42)</f>
        <v/>
      </c>
      <c r="H42" s="8" t="n">
        <v>4</v>
      </c>
      <c r="I42" s="8" t="n">
        <v>4</v>
      </c>
      <c r="J42" s="8" t="n">
        <v>4</v>
      </c>
      <c r="K42" s="63" t="inlineStr">
        <is>
          <t>Alto (3×4=12)</t>
        </is>
      </c>
    </row>
    <row r="43" ht="30" customHeight="1">
      <c r="A43" s="17" t="inlineStr">
        <is>
          <t>R5</t>
        </is>
      </c>
      <c r="B43" s="24" t="inlineStr">
        <is>
          <t>Acoplamiento residual entre microservicios ClaAhorros y ClaCreditos por ausencia de contratos API versionados</t>
        </is>
      </c>
      <c r="C43" s="24" t="inlineStr">
        <is>
          <t>Amazon API Gateway + microservicios</t>
        </is>
      </c>
      <c r="D43" s="4" t="n">
        <v>3</v>
      </c>
      <c r="E43" s="4" t="n">
        <v>3</v>
      </c>
      <c r="F43" s="4" t="n">
        <v>3</v>
      </c>
      <c r="G43" s="62">
        <f>AVERAGE(D43,E43,F43)</f>
        <v/>
      </c>
      <c r="H43" s="4" t="n">
        <v>3</v>
      </c>
      <c r="I43" s="4" t="n">
        <v>3</v>
      </c>
      <c r="J43" s="4" t="n">
        <v>3</v>
      </c>
      <c r="K43" s="64" t="inlineStr">
        <is>
          <t>Medio (3×3=9)</t>
        </is>
      </c>
    </row>
    <row r="44" ht="30" customHeight="1">
      <c r="A44" s="15" t="inlineStr">
        <is>
          <t>R6</t>
        </is>
      </c>
      <c r="B44" s="27" t="inlineStr">
        <is>
          <t>Latencia elevada en comunicación VPN entre EKS y la base transaccional on-premise</t>
        </is>
      </c>
      <c r="C44" s="27" t="inlineStr">
        <is>
          <t>VPN site-to-site + BD on-premise + microservicios</t>
        </is>
      </c>
      <c r="D44" s="8" t="n">
        <v>2</v>
      </c>
      <c r="E44" s="8" t="n">
        <v>2</v>
      </c>
      <c r="F44" s="8" t="n">
        <v>2</v>
      </c>
      <c r="G44" s="62">
        <f>AVERAGE(D44,E44,F44)</f>
        <v/>
      </c>
      <c r="H44" s="8" t="n">
        <v>4</v>
      </c>
      <c r="I44" s="8" t="n">
        <v>4</v>
      </c>
      <c r="J44" s="8" t="n">
        <v>4</v>
      </c>
      <c r="K44" s="64" t="inlineStr">
        <is>
          <t>Medio (2×4=8)</t>
        </is>
      </c>
    </row>
    <row r="45" ht="30" customHeight="1">
      <c r="A45" s="17" t="inlineStr">
        <is>
          <t>R7</t>
        </is>
      </c>
      <c r="B45" s="24" t="inlineStr">
        <is>
          <t>Drift de configuración entre entornos IaC por modificaciones manuales post-despliegue</t>
        </is>
      </c>
      <c r="C45" s="24" t="inlineStr">
        <is>
          <t>Terraform / CloudFormation + entornos EKS</t>
        </is>
      </c>
      <c r="D45" s="4" t="n">
        <v>3</v>
      </c>
      <c r="E45" s="4" t="n">
        <v>3</v>
      </c>
      <c r="F45" s="4" t="n">
        <v>3</v>
      </c>
      <c r="G45" s="62">
        <f>AVERAGE(D45,E45,F45)</f>
        <v/>
      </c>
      <c r="H45" s="4" t="n">
        <v>3</v>
      </c>
      <c r="I45" s="4" t="n">
        <v>3</v>
      </c>
      <c r="J45" s="4" t="n">
        <v>3</v>
      </c>
      <c r="K45" s="64" t="inlineStr">
        <is>
          <t>Medio (3×3=9)</t>
        </is>
      </c>
    </row>
    <row r="46" ht="30" customHeight="1">
      <c r="A46" s="15" t="inlineStr">
        <is>
          <t>R8</t>
        </is>
      </c>
      <c r="B46" s="27" t="inlineStr">
        <is>
          <t>Sobrecosto operativo por aprovisionamiento excesivo de recursos EKS sin gobernanza de costos</t>
        </is>
      </c>
      <c r="C46" s="27" t="inlineStr">
        <is>
          <t>AWS EKS + EC2 Multi-AZ + ELB</t>
        </is>
      </c>
      <c r="D46" s="8" t="n">
        <v>2</v>
      </c>
      <c r="E46" s="8" t="n">
        <v>2</v>
      </c>
      <c r="F46" s="8" t="n">
        <v>2</v>
      </c>
      <c r="G46" s="62">
        <f>AVERAGE(D46,E46,F46)</f>
        <v/>
      </c>
      <c r="H46" s="8" t="n">
        <v>3</v>
      </c>
      <c r="I46" s="8" t="n">
        <v>3</v>
      </c>
      <c r="J46" s="8" t="n">
        <v>3</v>
      </c>
      <c r="K46" s="29" t="inlineStr">
        <is>
          <t>Bajo (2×3=6)</t>
        </is>
      </c>
    </row>
  </sheetData>
  <mergeCells count="6">
    <mergeCell ref="A4:K4"/>
    <mergeCell ref="A26:K26"/>
    <mergeCell ref="A15:K15"/>
    <mergeCell ref="A2:K2"/>
    <mergeCell ref="A1:K1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2026-05-16T04:06:30Z</dcterms:created>
  <dcterms:modified xmlns:dcterms="http://purl.org/dc/terms/" xmlns:xsi="http://www.w3.org/2001/XMLSchema-instance" xsi:type="dcterms:W3CDTF">2026-05-16T04:06:30Z</dcterms:modified>
</cp:coreProperties>
</file>